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Funix\4. CC4\5. LAB301x\LAB301x_01\Task_08\"/>
    </mc:Choice>
  </mc:AlternateContent>
  <xr:revisionPtr revIDLastSave="0" documentId="13_ncr:1_{6AA15BB4-343A-43E7-BE3A-2D97CA6E604D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Cover" sheetId="1" r:id="rId1"/>
    <sheet name="TestDesign" sheetId="2" r:id="rId2"/>
    <sheet name="Test case List" sheetId="3" r:id="rId3"/>
    <sheet name="Module1" sheetId="5" r:id="rId4"/>
    <sheet name="Test Report" sheetId="7" r:id="rId5"/>
  </sheets>
  <definedNames>
    <definedName name="_xlnm._FilterDatabase" localSheetId="1" hidden="1">TestDesign!$A$1:$F$14</definedName>
    <definedName name="_Toc301930468" localSheetId="1">#REF!</definedName>
    <definedName name="_Toc301930478" localSheetId="1">#REF!</definedName>
    <definedName name="ACTION">#REF!</definedName>
    <definedName name="_xlnm.Print_Area" localSheetId="1">TestDesign!$A$1:$F$14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0" i="7" l="1"/>
  <c r="A24" i="5"/>
  <c r="A22" i="5"/>
  <c r="A21" i="5"/>
  <c r="A20" i="5"/>
  <c r="C5" i="7"/>
  <c r="D4" i="3"/>
  <c r="D3" i="3"/>
  <c r="C6" i="1"/>
  <c r="A19" i="5"/>
  <c r="A18" i="5"/>
  <c r="A17" i="5"/>
  <c r="A16" i="5"/>
  <c r="A15" i="5"/>
  <c r="A14" i="5"/>
  <c r="A13" i="5"/>
  <c r="A12" i="5"/>
  <c r="A11" i="5"/>
  <c r="A10" i="5"/>
  <c r="E6" i="5"/>
  <c r="H10" i="7" s="1"/>
  <c r="D6" i="5"/>
  <c r="G10" i="7" s="1"/>
  <c r="B6" i="5"/>
  <c r="E10" i="7" s="1"/>
  <c r="A6" i="5"/>
  <c r="D10" i="7" s="1"/>
  <c r="F6" i="5" l="1"/>
  <c r="D13" i="7"/>
  <c r="E13" i="7"/>
  <c r="H13" i="7"/>
  <c r="G13" i="7"/>
  <c r="E16" i="7" l="1"/>
  <c r="I10" i="7"/>
  <c r="I13" i="7" s="1"/>
  <c r="E15" i="7" s="1"/>
  <c r="C6" i="5"/>
  <c r="F10" i="7" s="1"/>
  <c r="F13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1" authorId="0" shapeId="0" xr:uid="{00000000-0006-0000-0000-000001000000}">
      <text>
        <r>
          <rPr>
            <sz val="10"/>
            <rFont val="Arial"/>
            <family val="2"/>
          </rPr>
          <t xml:space="preserve">*A: Add
  M: Modify
  D: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" authorId="0" shapeId="0" xr:uid="{00000000-0006-0000-0100-000001000000}">
      <text>
        <r>
          <rPr>
            <sz val="10"/>
            <rFont val="Arial"/>
            <family val="2"/>
          </rPr>
          <t>Tran Thi Lanh:
It does not required to have 3 requirement levels. It depends on your decentralization.</t>
        </r>
      </text>
    </comment>
    <comment ref="D1" authorId="0" shapeId="0" xr:uid="{00000000-0006-0000-0100-000002000000}">
      <text>
        <r>
          <rPr>
            <sz val="10"/>
            <rFont val="Arial"/>
            <family val="2"/>
          </rPr>
          <t>Tran Thi Lanh:
Brief description about the case you'll check</t>
        </r>
      </text>
    </comment>
    <comment ref="E1" authorId="0" shapeId="0" xr:uid="{00000000-0006-0000-0100-000003000000}">
      <text>
        <r>
          <rPr>
            <sz val="10"/>
            <rFont val="Arial"/>
            <family val="2"/>
          </rPr>
          <t>Tran Thi Lanh:
GUI
Function
Non-function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8" authorId="0" shapeId="0" xr:uid="{00000000-0006-0000-0400-000001000000}">
      <text>
        <r>
          <rPr>
            <sz val="10"/>
            <rFont val="Arial"/>
            <family val="2"/>
          </rPr>
          <t xml:space="preserve">Pass
Fail
Untested
N/A
</t>
        </r>
      </text>
    </comment>
  </commentList>
</comments>
</file>

<file path=xl/sharedStrings.xml><?xml version="1.0" encoding="utf-8"?>
<sst xmlns="http://schemas.openxmlformats.org/spreadsheetml/2006/main" count="225" uniqueCount="125">
  <si>
    <t>TEST CASE</t>
  </si>
  <si>
    <t>Project Name</t>
  </si>
  <si>
    <t>Dò vé số</t>
  </si>
  <si>
    <t>Creator</t>
  </si>
  <si>
    <t>DucNVFX14814</t>
  </si>
  <si>
    <t>Project Code</t>
  </si>
  <si>
    <t>Lab301x</t>
  </si>
  <si>
    <t>Reviewer/Approver</t>
  </si>
  <si>
    <t>ToanHK(Mentor)</t>
  </si>
  <si>
    <t>Document Code</t>
  </si>
  <si>
    <t>Issue Date</t>
  </si>
  <si>
    <t>Version</t>
  </si>
  <si>
    <t>V1.0</t>
  </si>
  <si>
    <t>Record of change</t>
  </si>
  <si>
    <t>Effective Date</t>
  </si>
  <si>
    <t>Change Item</t>
  </si>
  <si>
    <t>*A,D,M</t>
  </si>
  <si>
    <t>Change description</t>
  </si>
  <si>
    <t>Reference</t>
  </si>
  <si>
    <t>1.0</t>
  </si>
  <si>
    <t>Khởi tạo</t>
  </si>
  <si>
    <t>A</t>
  </si>
  <si>
    <t>Tạo mới Test Case cho CN4 - Đề xuất số vé số nên mua (USER; NO_USER cần đăng nhập, ADMIN không hỗ trợ)</t>
  </si>
  <si>
    <t>DucNVFX14814_SRS, DucNVFX14814_CN4_Screen_Design</t>
  </si>
  <si>
    <t>Requirement Level 1</t>
  </si>
  <si>
    <t>Requirement Level 2</t>
  </si>
  <si>
    <t>Requirement Level 3</t>
  </si>
  <si>
    <t>Test Criteria</t>
  </si>
  <si>
    <t>Test Type</t>
  </si>
  <si>
    <t>Note</t>
  </si>
  <si>
    <t>Thành công</t>
  </si>
  <si>
    <t>Function</t>
  </si>
  <si>
    <t>Không thành công</t>
  </si>
  <si>
    <t>CN4 - Đề xuất số vé số nên mua (USER)</t>
  </si>
  <si>
    <t>Xem đề xuất thành công</t>
  </si>
  <si>
    <t>Vào trang lần đầu từ menu "Gợi ý số"</t>
  </si>
  <si>
    <t>Xem thống kê của 1 tỉnh có dữ liệu</t>
  </si>
  <si>
    <t>Tỉnh đã có vé dò PUBLISH</t>
  </si>
  <si>
    <t>Hiển thị cảnh báo thống kê chỉ mang tính tham khảo</t>
  </si>
  <si>
    <t>Top số về nhiều nhất xếp đúng thứ tự</t>
  </si>
  <si>
    <t>Top số lâu chưa về xếp đúng thứ tự</t>
  </si>
  <si>
    <t>Hiển thị số chưa từng về</t>
  </si>
  <si>
    <t>Tỉnh có ít kỳ quay số</t>
  </si>
  <si>
    <t>Số liệu chỉ tính từ các vé dò đã công bố</t>
  </si>
  <si>
    <t>Cần có vé UNPUBLISH của tỉnh</t>
  </si>
  <si>
    <t>Thống kê cập nhật khi Admin công bố thêm vé dò</t>
  </si>
  <si>
    <t>Mỗi tỉnh có thống kê riêng</t>
  </si>
  <si>
    <t>Cần 2 tỉnh có dữ liệu</t>
  </si>
  <si>
    <t>Lọc danh sách Tỉnh theo Miền</t>
  </si>
  <si>
    <t>Xem thống kê khi tỉnh chưa có vé dò đã công bố</t>
  </si>
  <si>
    <t>Cần có tỉnh chưa có vé dò PUBLISH</t>
  </si>
  <si>
    <t>Xem đề xuất không thành công</t>
  </si>
  <si>
    <t>Chưa chọn Tỉnh</t>
  </si>
  <si>
    <t>TEST CASE LIST</t>
  </si>
  <si>
    <t>Test Environment Setup Description</t>
  </si>
  <si>
    <t>No</t>
  </si>
  <si>
    <t>Function Name</t>
  </si>
  <si>
    <t>Sheet Name</t>
  </si>
  <si>
    <t>Description</t>
  </si>
  <si>
    <t>Pre-Condition</t>
  </si>
  <si>
    <t>Module1</t>
  </si>
  <si>
    <t>Đề xuất số vé số nên mua (USER)</t>
  </si>
  <si>
    <t>Thống kê Top 10 số về nhiều và Top 10 số lâu chưa về theo tỉnh</t>
  </si>
  <si>
    <t>Đã đăng nhập USER; có vé dò đã công bố</t>
  </si>
  <si>
    <t>Module Code</t>
  </si>
  <si>
    <t>Passed</t>
  </si>
  <si>
    <t>Test requirement</t>
  </si>
  <si>
    <t>Failed</t>
  </si>
  <si>
    <t>Tester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</si>
  <si>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</si>
  <si>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</si>
  <si>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</si>
  <si>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</si>
  <si>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</si>
  <si>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</si>
  <si>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</si>
  <si>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</si>
  <si>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</si>
  <si>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</si>
  <si>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</si>
  <si>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1. Đăng nhập USER.
2. Bấm menu "Gợi ý số".</t>
  </si>
  <si>
    <t>Hiển thị tiêu đề "Đề xuất số vé số nên mua", form chọn Miền/Tỉnh và nút "Xem thống kê"; chưa hiển thị kết quả và chưa có cảnh báo; mục "Gợi ý số" được tô sáng trên menu.</t>
  </si>
  <si>
    <t>1. Chọn 1 tỉnh đã có nhiều vé dò đã công bố.
2. Bấm "Xem thống kê".</t>
  </si>
  <si>
    <t>Hiển thị dòng "[Tên tỉnh] - dựa trên N kỳ quay số, gần nhất ngày dd/MM/yyyy.", khối "Top 10 số về nhiều nhất" và khối "Top 10 số lâu chưa về", mỗi số gồm 2 chữ số kèm số liệu (số lượt hoặc số kỳ).</t>
  </si>
  <si>
    <t>1. Xem thống kê của 1 tỉnh bất kỳ.</t>
  </si>
  <si>
    <t>Hiển thị khung cảnh báo màu vàng: đây chỉ là thống kê tham khảo, xổ số hoàn toàn ngẫu nhiên, chơi có trách nhiệm.</t>
  </si>
  <si>
    <t>1. Xem thống kê 1 tỉnh.
2. Quan sát khối "Top 10 số về nhiều nhất" từ trái sang phải, từ trên xuống.</t>
  </si>
  <si>
    <t>Các số xếp theo số lượt về giảm dần; cùng số lượt thì số về gần đây hơn xếp trước, nếu vẫn bằng nhau thì số nhỏ xếp trước; chỉ hiển thị các số đã từng về.</t>
  </si>
  <si>
    <t>1. Xem thống kê 1 tỉnh.
2. Quan sát khối "Top 10 số lâu chưa về".</t>
  </si>
  <si>
    <t>Các số xếp theo số kỳ chưa về giảm dần (số chưa từng về xếp đầu); mỗi số hiển thị "N kỳ".</t>
  </si>
  <si>
    <t>1. Xem thống kê 1 tỉnh có ít kỳ quay số (một số cặp số từ 00 đến 99 chưa từng xuất hiện).</t>
  </si>
  <si>
    <t>Các số chưa từng xuất hiện hiển thị "Chưa từng về" trong khối "Top 10 số lâu chưa về".</t>
  </si>
  <si>
    <t>1. Chọn 1 tỉnh có cả vé dò PUBLISH và UNPUBLISH, ghi lại số kỳ quay số hiển thị.
2. Đối chiếu với danh sách vé dò của tỉnh (Admin).</t>
  </si>
  <si>
    <t>Số kỳ quay số và dữ liệu thống kê chỉ gồm các vé dò PUBLISH, không tính vé UNPUBLISH.</t>
  </si>
  <si>
    <t>1. Xem thống kê 1 tỉnh, ghi lại số kỳ quay số.
2. Admin chuyển 1 vé dò UNPUBLISH của tỉnh đó sang PUBLISH.
3. USER xem lại thống kê của tỉnh.</t>
  </si>
  <si>
    <t>Số kỳ quay số tăng thêm 1 và ngày gần nhất được cập nhật (nếu vé mới có ngày quay số mới nhất).</t>
  </si>
  <si>
    <t>1. Xem thống kê tỉnh A.
2. Chọn tỉnh B khác, bấm "Xem thống kê".</t>
  </si>
  <si>
    <t>Kết quả đổi theo tỉnh B (tên tỉnh, số kỳ, các số), tỉnh B vẫn được giữ chọn trong form.</t>
  </si>
  <si>
    <t>1. Chọn 1 Miền.
2. Quan sát danh sách Tỉnh.</t>
  </si>
  <si>
    <t>Danh sách Tỉnh chỉ còn các tỉnh thuộc miền đã chọn; Miền chỉ dùng để lọc nhanh, kết quả do Tỉnh quyết định.</t>
  </si>
  <si>
    <t>1. Chọn 1 tỉnh chưa có vé dò PUBLISH.
2. Bấm "Xem thống kê".</t>
  </si>
  <si>
    <t>Hiển thị thông báo "Chưa có đủ dữ liệu vé dò đã công bố để thống kê. Vui lòng quay lại sau."; không hiển thị 2 khối Top 10.</t>
  </si>
  <si>
    <t>1. Để Tỉnh ở "-- Chọn tỉnh --".
2. Bấm "Xem thống kê".</t>
  </si>
  <si>
    <t>Form không được gửi đi, trình duyệt yêu cầu chọn tỉnh (trường bắt buộc).</t>
  </si>
  <si>
    <t>TEST REPORT</t>
  </si>
  <si>
    <t>Notes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</si>
  <si>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</si>
  <si>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</si>
  <si>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</si>
  <si>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</si>
  <si>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</si>
  <si>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</si>
  <si>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</si>
  <si>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</si>
  <si>
    <t>Yêu cầu 3 (USER): Phân tích và đề xuất số vé số nên mua - thống kê tần suất 2 số cuối trên các vé dò đã công bố của 1 tỉnh, hiển thị Top 10 số về nhiều nhất và Top 10 số lâu chưa về.</t>
  </si>
  <si>
    <t>02/10/2026</t>
  </si>
  <si>
    <t>Xem thống kê khi tỉnh có số vé dò đã công bố nhỏ hơn 50</t>
  </si>
  <si>
    <t>Xem thống kê khi tỉnh có số vé dò đã công bố lớn hơn 50</t>
  </si>
  <si>
    <t>Cần có tỉnh có số vé dò PUBLISH nhỏ hơn 50</t>
  </si>
  <si>
    <t>Cần có tỉnh có số vé dò PUBLISH lớn hơn 50</t>
  </si>
  <si>
    <t>1. Web server: Apache Tomcat 9
2. Database: MySQL 8
3. Web Browser: Chrome/Edge mới nhất
4. Dữ liệu: đã có các vé dò PUBLISH / UNPUBLISH của nhiều tỉnh, tài khoản USER</t>
  </si>
  <si>
    <t>1. Chọn 1 tỉnh có số vé dò PUBLISH nhỏ hơn 50.
2. Bấm "Xem thống kê".</t>
  </si>
  <si>
    <t>1. Chọn 1 tỉnh có số vé dò PUBLISH lớn hơn 50.
2. Bấm "Xem thống kê".</t>
  </si>
  <si>
    <t>Hiển thị dòng "[Tên tỉnh] - dựa trên 50 kỳ quay số, gần nhất ngày dd/MM/yyyy.", khối "Top 10 số về nhiều nhất" và khối "Top 10 số lâu chưa về", mỗi số gồm 2 chữ số kèm số liệu (số lượt hoặc số kỳ).</t>
  </si>
  <si>
    <t>Release 1 gồm 1 module: Module1 (USER - Đề xuất số vé số nên mua)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</si>
</sst>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[$-409]d\-mmm\-yy"/>
  </numFmts>
  <fonts count="29">
    <font>
      <sz val="11"/>
      <name val="ＭＳ Ｐゴシック"/>
      <charset val="128"/>
    </font>
    <font>
      <sz val="11"/>
      <color rgb="FF000000"/>
      <name val="Calibri"/>
      <family val="2"/>
      <charset val="163"/>
    </font>
    <font>
      <sz val="11"/>
      <color rgb="FF000000"/>
      <name val="Calibri"/>
      <family val="3"/>
      <charset val="128"/>
    </font>
    <font>
      <sz val="9"/>
      <name val="ＭＳ ゴシック"/>
      <family val="3"/>
      <charset val="128"/>
    </font>
    <font>
      <sz val="10"/>
      <name val="Times New Roman"/>
      <family val="1"/>
      <charset val="1"/>
    </font>
    <font>
      <sz val="11"/>
      <name val="Times New Roman"/>
      <family val="1"/>
      <charset val="1"/>
    </font>
    <font>
      <b/>
      <sz val="22"/>
      <color rgb="FFFF0000"/>
      <name val="Times New Roman"/>
      <family val="1"/>
      <charset val="1"/>
    </font>
    <font>
      <b/>
      <sz val="20"/>
      <color rgb="FF000000"/>
      <name val="Times New Roman"/>
      <family val="1"/>
      <charset val="1"/>
    </font>
    <font>
      <b/>
      <sz val="10"/>
      <color rgb="FF993300"/>
      <name val="Times New Roman"/>
      <family val="1"/>
      <charset val="1"/>
    </font>
    <font>
      <i/>
      <sz val="10"/>
      <color rgb="FF008000"/>
      <name val="Times New Roman"/>
      <family val="1"/>
      <charset val="1"/>
    </font>
    <font>
      <b/>
      <sz val="10"/>
      <color rgb="FFFFFFFF"/>
      <name val="Times New Roman"/>
      <family val="1"/>
      <charset val="1"/>
    </font>
    <font>
      <sz val="10"/>
      <name val="Arial"/>
      <family val="2"/>
    </font>
    <font>
      <sz val="10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sz val="10"/>
      <name val="Tahoma"/>
      <family val="2"/>
      <charset val="1"/>
    </font>
    <font>
      <b/>
      <sz val="20"/>
      <color rgb="FF000000"/>
      <name val="Tahoma"/>
      <family val="2"/>
      <charset val="1"/>
    </font>
    <font>
      <b/>
      <sz val="10"/>
      <color rgb="FF000000"/>
      <name val="Tahoma"/>
      <family val="2"/>
      <charset val="1"/>
    </font>
    <font>
      <b/>
      <sz val="10"/>
      <color rgb="FFFF0000"/>
      <name val="Tahoma"/>
      <family val="2"/>
      <charset val="1"/>
    </font>
    <font>
      <b/>
      <sz val="10"/>
      <color rgb="FF993300"/>
      <name val="Tahoma"/>
      <family val="2"/>
      <charset val="1"/>
    </font>
    <font>
      <i/>
      <sz val="10"/>
      <color rgb="FF008000"/>
      <name val="Tahoma"/>
      <family val="2"/>
      <charset val="1"/>
    </font>
    <font>
      <b/>
      <sz val="10"/>
      <name val="Tahoma"/>
      <family val="2"/>
      <charset val="1"/>
    </font>
    <font>
      <u/>
      <sz val="10"/>
      <color rgb="FF0000FF"/>
      <name val="Times New Roman"/>
      <family val="1"/>
      <charset val="1"/>
    </font>
    <font>
      <sz val="10"/>
      <color rgb="FFFF0000"/>
      <name val="Tahoma"/>
      <family val="2"/>
      <charset val="1"/>
    </font>
    <font>
      <sz val="10"/>
      <color rgb="FF000000"/>
      <name val="Tahoma"/>
      <family val="2"/>
      <charset val="1"/>
    </font>
    <font>
      <b/>
      <sz val="10"/>
      <name val="Times New Roman"/>
      <family val="1"/>
      <charset val="1"/>
    </font>
    <font>
      <sz val="10"/>
      <color rgb="FFFFFFFF"/>
      <name val="Times New Roman"/>
      <family val="1"/>
      <charset val="1"/>
    </font>
    <font>
      <b/>
      <sz val="10"/>
      <color rgb="FF0000FF"/>
      <name val="Times New Roman"/>
      <family val="1"/>
      <charset val="1"/>
    </font>
    <font>
      <u/>
      <sz val="11"/>
      <color theme="10"/>
      <name val="ＭＳ Ｐゴシック"/>
      <charset val="128"/>
    </font>
    <font>
      <u/>
      <sz val="10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003366"/>
      </patternFill>
    </fill>
    <fill>
      <patternFill patternType="solid">
        <fgColor rgb="FFFFFF00"/>
        <bgColor rgb="FFFFFF00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</borders>
  <cellStyleXfs count="5">
    <xf numFmtId="0" fontId="0" fillId="0" borderId="0"/>
    <xf numFmtId="0" fontId="27" fillId="0" borderId="0" applyNumberFormat="0" applyFill="0" applyBorder="0" applyAlignment="0" applyProtection="0"/>
    <xf numFmtId="0" fontId="1" fillId="0" borderId="0"/>
    <xf numFmtId="0" fontId="2" fillId="0" borderId="0"/>
    <xf numFmtId="0" fontId="3" fillId="0" borderId="0"/>
  </cellStyleXfs>
  <cellXfs count="141">
    <xf numFmtId="0" fontId="0" fillId="0" borderId="0" xfId="0"/>
    <xf numFmtId="0" fontId="8" fillId="2" borderId="1" xfId="0" applyFont="1" applyFill="1" applyBorder="1" applyAlignment="1">
      <alignment horizontal="left" vertical="center"/>
    </xf>
    <xf numFmtId="0" fontId="23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left" indent="1"/>
    </xf>
    <xf numFmtId="0" fontId="5" fillId="0" borderId="0" xfId="0" applyFont="1"/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2" borderId="0" xfId="0" applyFont="1" applyFill="1" applyAlignment="1">
      <alignment horizontal="left" indent="1"/>
    </xf>
    <xf numFmtId="0" fontId="9" fillId="0" borderId="0" xfId="0" applyFont="1" applyAlignment="1">
      <alignment horizontal="left" indent="1"/>
    </xf>
    <xf numFmtId="0" fontId="4" fillId="2" borderId="0" xfId="0" applyFont="1" applyFill="1"/>
    <xf numFmtId="0" fontId="8" fillId="2" borderId="1" xfId="0" applyFont="1" applyFill="1" applyBorder="1" applyAlignment="1">
      <alignment horizontal="left"/>
    </xf>
    <xf numFmtId="0" fontId="4" fillId="0" borderId="2" xfId="0" applyFont="1" applyBorder="1"/>
    <xf numFmtId="0" fontId="8" fillId="2" borderId="0" xfId="0" applyFont="1" applyFill="1"/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164" fontId="10" fillId="3" borderId="3" xfId="0" applyNumberFormat="1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vertical="top"/>
    </xf>
    <xf numFmtId="49" fontId="4" fillId="0" borderId="6" xfId="0" applyNumberFormat="1" applyFont="1" applyBorder="1" applyAlignment="1">
      <alignment vertical="top"/>
    </xf>
    <xf numFmtId="49" fontId="4" fillId="0" borderId="7" xfId="0" applyNumberFormat="1" applyFont="1" applyBorder="1" applyAlignment="1">
      <alignment vertical="top"/>
    </xf>
    <xf numFmtId="0" fontId="4" fillId="0" borderId="7" xfId="0" applyFont="1" applyBorder="1" applyAlignment="1">
      <alignment vertical="top"/>
    </xf>
    <xf numFmtId="165" fontId="4" fillId="0" borderId="7" xfId="0" applyNumberFormat="1" applyFont="1" applyBorder="1" applyAlignment="1">
      <alignment vertical="top" wrapText="1"/>
    </xf>
    <xf numFmtId="49" fontId="4" fillId="0" borderId="8" xfId="0" applyNumberFormat="1" applyFont="1" applyBorder="1" applyAlignment="1">
      <alignment vertical="top" wrapText="1"/>
    </xf>
    <xf numFmtId="164" fontId="4" fillId="0" borderId="6" xfId="0" applyNumberFormat="1" applyFont="1" applyBorder="1" applyAlignment="1">
      <alignment vertical="top"/>
    </xf>
    <xf numFmtId="0" fontId="4" fillId="0" borderId="8" xfId="0" applyFont="1" applyBorder="1" applyAlignment="1">
      <alignment vertical="top"/>
    </xf>
    <xf numFmtId="164" fontId="4" fillId="0" borderId="9" xfId="0" applyNumberFormat="1" applyFont="1" applyBorder="1" applyAlignment="1">
      <alignment vertical="top"/>
    </xf>
    <xf numFmtId="49" fontId="4" fillId="0" borderId="10" xfId="0" applyNumberFormat="1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4" fillId="0" borderId="11" xfId="0" applyFont="1" applyBorder="1" applyAlignment="1">
      <alignment vertical="top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0" fillId="3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center" wrapText="1"/>
    </xf>
    <xf numFmtId="0" fontId="14" fillId="2" borderId="0" xfId="0" applyFont="1" applyFill="1"/>
    <xf numFmtId="1" fontId="14" fillId="2" borderId="0" xfId="0" applyNumberFormat="1" applyFont="1" applyFill="1"/>
    <xf numFmtId="0" fontId="14" fillId="2" borderId="0" xfId="0" applyFont="1" applyFill="1" applyAlignment="1">
      <alignment horizontal="left"/>
    </xf>
    <xf numFmtId="1" fontId="14" fillId="2" borderId="0" xfId="0" applyNumberFormat="1" applyFont="1" applyFill="1" applyProtection="1">
      <protection hidden="1"/>
    </xf>
    <xf numFmtId="0" fontId="15" fillId="2" borderId="0" xfId="0" applyFont="1" applyFill="1" applyAlignment="1">
      <alignment horizontal="left"/>
    </xf>
    <xf numFmtId="0" fontId="16" fillId="2" borderId="0" xfId="0" applyFont="1" applyFill="1" applyAlignment="1">
      <alignment horizontal="left"/>
    </xf>
    <xf numFmtId="0" fontId="17" fillId="2" borderId="0" xfId="0" applyFont="1" applyFill="1" applyAlignment="1">
      <alignment horizontal="left"/>
    </xf>
    <xf numFmtId="0" fontId="14" fillId="2" borderId="0" xfId="0" applyFont="1" applyFill="1" applyAlignment="1">
      <alignment wrapText="1"/>
    </xf>
    <xf numFmtId="1" fontId="18" fillId="2" borderId="0" xfId="0" applyNumberFormat="1" applyFont="1" applyFill="1"/>
    <xf numFmtId="0" fontId="14" fillId="2" borderId="0" xfId="0" applyFont="1" applyFill="1" applyAlignment="1">
      <alignment vertical="center"/>
    </xf>
    <xf numFmtId="1" fontId="14" fillId="2" borderId="0" xfId="0" applyNumberFormat="1" applyFont="1" applyFill="1" applyAlignment="1" applyProtection="1">
      <alignment vertical="center"/>
      <protection hidden="1"/>
    </xf>
    <xf numFmtId="0" fontId="14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center"/>
    </xf>
    <xf numFmtId="1" fontId="10" fillId="4" borderId="3" xfId="0" applyNumberFormat="1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1" fontId="4" fillId="2" borderId="6" xfId="0" applyNumberFormat="1" applyFont="1" applyFill="1" applyBorder="1" applyAlignment="1">
      <alignment vertical="center"/>
    </xf>
    <xf numFmtId="49" fontId="4" fillId="2" borderId="7" xfId="0" applyNumberFormat="1" applyFont="1" applyFill="1" applyBorder="1" applyAlignment="1">
      <alignment horizontal="left" vertical="center"/>
    </xf>
    <xf numFmtId="0" fontId="21" fillId="2" borderId="7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1" fontId="14" fillId="2" borderId="6" xfId="0" applyNumberFormat="1" applyFont="1" applyFill="1" applyBorder="1" applyAlignment="1">
      <alignment vertical="center"/>
    </xf>
    <xf numFmtId="49" fontId="14" fillId="2" borderId="7" xfId="0" applyNumberFormat="1" applyFont="1" applyFill="1" applyBorder="1" applyAlignment="1">
      <alignment horizontal="left" vertical="center"/>
    </xf>
    <xf numFmtId="0" fontId="14" fillId="2" borderId="7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" fontId="14" fillId="2" borderId="9" xfId="0" applyNumberFormat="1" applyFont="1" applyFill="1" applyBorder="1" applyAlignment="1">
      <alignment vertical="center"/>
    </xf>
    <xf numFmtId="49" fontId="14" fillId="2" borderId="10" xfId="0" applyNumberFormat="1" applyFont="1" applyFill="1" applyBorder="1" applyAlignment="1">
      <alignment horizontal="left" vertical="center"/>
    </xf>
    <xf numFmtId="0" fontId="14" fillId="2" borderId="10" xfId="0" applyFont="1" applyFill="1" applyBorder="1" applyAlignment="1">
      <alignment horizontal="left" vertical="center"/>
    </xf>
    <xf numFmtId="0" fontId="14" fillId="2" borderId="11" xfId="0" applyFont="1" applyFill="1" applyBorder="1" applyAlignment="1">
      <alignment horizontal="left" vertical="center"/>
    </xf>
    <xf numFmtId="0" fontId="22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3" fillId="2" borderId="14" xfId="0" applyFont="1" applyFill="1" applyBorder="1" applyAlignment="1">
      <alignment wrapText="1"/>
    </xf>
    <xf numFmtId="0" fontId="14" fillId="2" borderId="14" xfId="0" applyFont="1" applyFill="1" applyBorder="1" applyAlignment="1">
      <alignment wrapText="1"/>
    </xf>
    <xf numFmtId="0" fontId="20" fillId="2" borderId="0" xfId="0" applyFont="1" applyFill="1" applyAlignment="1">
      <alignment wrapText="1"/>
    </xf>
    <xf numFmtId="0" fontId="23" fillId="2" borderId="0" xfId="0" applyFont="1" applyFill="1" applyAlignment="1">
      <alignment wrapText="1"/>
    </xf>
    <xf numFmtId="0" fontId="20" fillId="2" borderId="15" xfId="0" applyFont="1" applyFill="1" applyBorder="1" applyAlignment="1">
      <alignment horizontal="left" wrapText="1"/>
    </xf>
    <xf numFmtId="0" fontId="20" fillId="2" borderId="16" xfId="0" applyFont="1" applyFill="1" applyBorder="1" applyAlignment="1">
      <alignment horizontal="left" wrapText="1"/>
    </xf>
    <xf numFmtId="0" fontId="16" fillId="2" borderId="16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vertical="center" wrapText="1"/>
    </xf>
    <xf numFmtId="0" fontId="22" fillId="2" borderId="0" xfId="0" applyFont="1" applyFill="1" applyAlignment="1">
      <alignment horizontal="center" wrapText="1"/>
    </xf>
    <xf numFmtId="0" fontId="23" fillId="2" borderId="17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vertical="center" wrapText="1"/>
    </xf>
    <xf numFmtId="0" fontId="23" fillId="2" borderId="0" xfId="0" applyFont="1" applyFill="1" applyAlignment="1">
      <alignment horizontal="center" wrapText="1"/>
    </xf>
    <xf numFmtId="0" fontId="14" fillId="2" borderId="0" xfId="0" applyFont="1" applyFill="1" applyAlignment="1">
      <alignment horizontal="center" wrapText="1"/>
    </xf>
    <xf numFmtId="0" fontId="17" fillId="2" borderId="0" xfId="0" applyFont="1" applyFill="1" applyAlignment="1">
      <alignment horizontal="center" vertical="center" wrapText="1"/>
    </xf>
    <xf numFmtId="0" fontId="12" fillId="5" borderId="1" xfId="0" applyFont="1" applyFill="1" applyBorder="1" applyAlignment="1">
      <alignment wrapText="1"/>
    </xf>
    <xf numFmtId="0" fontId="12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23" fillId="2" borderId="0" xfId="0" applyFont="1" applyFill="1" applyAlignment="1">
      <alignment vertical="top" wrapText="1"/>
    </xf>
    <xf numFmtId="0" fontId="24" fillId="2" borderId="0" xfId="0" applyFont="1" applyFill="1"/>
    <xf numFmtId="164" fontId="4" fillId="2" borderId="0" xfId="0" applyNumberFormat="1" applyFont="1" applyFill="1"/>
    <xf numFmtId="0" fontId="8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vertical="top"/>
    </xf>
    <xf numFmtId="0" fontId="8" fillId="2" borderId="1" xfId="0" applyFont="1" applyFill="1" applyBorder="1" applyAlignment="1">
      <alignment vertical="center"/>
    </xf>
    <xf numFmtId="0" fontId="9" fillId="2" borderId="0" xfId="0" applyFont="1" applyFill="1"/>
    <xf numFmtId="0" fontId="10" fillId="3" borderId="3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 wrapText="1"/>
    </xf>
    <xf numFmtId="0" fontId="10" fillId="3" borderId="13" xfId="0" applyFont="1" applyFill="1" applyBorder="1" applyAlignment="1">
      <alignment horizontal="center"/>
    </xf>
    <xf numFmtId="0" fontId="10" fillId="3" borderId="18" xfId="0" applyFont="1" applyFill="1" applyBorder="1" applyAlignment="1">
      <alignment horizontal="center" wrapText="1"/>
    </xf>
    <xf numFmtId="0" fontId="10" fillId="3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/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25" fillId="3" borderId="9" xfId="0" applyFont="1" applyFill="1" applyBorder="1" applyAlignment="1">
      <alignment horizontal="center"/>
    </xf>
    <xf numFmtId="0" fontId="10" fillId="3" borderId="10" xfId="0" applyFont="1" applyFill="1" applyBorder="1"/>
    <xf numFmtId="0" fontId="25" fillId="3" borderId="10" xfId="0" applyFont="1" applyFill="1" applyBorder="1" applyAlignment="1">
      <alignment horizontal="center"/>
    </xf>
    <xf numFmtId="0" fontId="25" fillId="3" borderId="19" xfId="0" applyFont="1" applyFill="1" applyBorder="1" applyAlignment="1">
      <alignment horizontal="center"/>
    </xf>
    <xf numFmtId="0" fontId="25" fillId="3" borderId="1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10" fontId="4" fillId="2" borderId="0" xfId="0" applyNumberFormat="1" applyFont="1" applyFill="1" applyAlignment="1">
      <alignment horizontal="center"/>
    </xf>
    <xf numFmtId="9" fontId="4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left"/>
    </xf>
    <xf numFmtId="2" fontId="26" fillId="2" borderId="0" xfId="0" applyNumberFormat="1" applyFont="1" applyFill="1" applyAlignment="1">
      <alignment horizontal="right" wrapText="1"/>
    </xf>
    <xf numFmtId="0" fontId="12" fillId="2" borderId="0" xfId="0" applyFont="1" applyFill="1" applyAlignment="1">
      <alignment horizontal="center" wrapText="1"/>
    </xf>
    <xf numFmtId="0" fontId="12" fillId="2" borderId="1" xfId="0" quotePrefix="1" applyFont="1" applyFill="1" applyBorder="1" applyAlignment="1">
      <alignment vertical="top" wrapText="1"/>
    </xf>
    <xf numFmtId="0" fontId="28" fillId="2" borderId="7" xfId="1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quotePrefix="1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/>
    </xf>
    <xf numFmtId="0" fontId="8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" fontId="18" fillId="2" borderId="12" xfId="0" applyNumberFormat="1" applyFont="1" applyFill="1" applyBorder="1"/>
    <xf numFmtId="0" fontId="19" fillId="2" borderId="1" xfId="0" applyFont="1" applyFill="1" applyBorder="1" applyAlignment="1">
      <alignment horizontal="left"/>
    </xf>
    <xf numFmtId="1" fontId="18" fillId="2" borderId="1" xfId="0" applyNumberFormat="1" applyFont="1" applyFill="1" applyBorder="1" applyAlignment="1">
      <alignment vertical="center" wrapText="1"/>
    </xf>
    <xf numFmtId="0" fontId="19" fillId="2" borderId="1" xfId="0" applyFont="1" applyFill="1" applyBorder="1" applyAlignment="1">
      <alignment vertical="top" wrapText="1"/>
    </xf>
    <xf numFmtId="0" fontId="19" fillId="2" borderId="1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left" vertical="top" wrapText="1"/>
    </xf>
    <xf numFmtId="0" fontId="16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vertical="center"/>
    </xf>
    <xf numFmtId="14" fontId="4" fillId="0" borderId="2" xfId="0" quotePrefix="1" applyNumberFormat="1" applyFont="1" applyBorder="1"/>
  </cellXfs>
  <cellStyles count="5">
    <cellStyle name="Hyperlink" xfId="1" builtinId="8"/>
    <cellStyle name="Normal" xfId="0" builtinId="0"/>
    <cellStyle name="Normal 2" xfId="2" xr:uid="{00000000-0005-0000-0000-000006000000}"/>
    <cellStyle name="Normal 3" xfId="3" xr:uid="{00000000-0005-0000-0000-000007000000}"/>
    <cellStyle name="標準_結合試験(AllOvertheWorld)" xfId="4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W18"/>
  <sheetViews>
    <sheetView tabSelected="1" zoomScaleNormal="100" workbookViewId="0">
      <selection activeCell="H13" sqref="H13"/>
    </sheetView>
  </sheetViews>
  <sheetFormatPr defaultColWidth="9" defaultRowHeight="13.8"/>
  <cols>
    <col min="1" max="1" width="2.109375" style="4" customWidth="1"/>
    <col min="2" max="2" width="19.6640625" style="5" customWidth="1"/>
    <col min="3" max="3" width="9.109375" style="4" customWidth="1"/>
    <col min="4" max="4" width="14.44140625" style="4" customWidth="1"/>
    <col min="5" max="5" width="8" style="4" customWidth="1"/>
    <col min="6" max="6" width="31.109375" style="4" customWidth="1"/>
    <col min="7" max="7" width="31" style="4" customWidth="1"/>
    <col min="8" max="257" width="9" style="4"/>
    <col min="258" max="16384" width="9" style="6"/>
  </cols>
  <sheetData>
    <row r="2" spans="1:7" s="8" customFormat="1" ht="75.75" customHeight="1">
      <c r="A2" s="7"/>
      <c r="B2" s="127" t="s">
        <v>0</v>
      </c>
      <c r="C2" s="127"/>
      <c r="D2" s="127"/>
      <c r="E2" s="127"/>
      <c r="F2" s="127"/>
      <c r="G2" s="127"/>
    </row>
    <row r="3" spans="1:7" ht="12.75" customHeight="1">
      <c r="B3" s="9"/>
      <c r="C3" s="10"/>
      <c r="F3" s="11"/>
    </row>
    <row r="4" spans="1:7" ht="14.25" customHeight="1">
      <c r="B4" s="12" t="s">
        <v>1</v>
      </c>
      <c r="C4" s="128" t="s">
        <v>2</v>
      </c>
      <c r="D4" s="128"/>
      <c r="E4" s="128"/>
      <c r="F4" s="12" t="s">
        <v>3</v>
      </c>
      <c r="G4" s="13" t="s">
        <v>4</v>
      </c>
    </row>
    <row r="5" spans="1:7" ht="14.25" customHeight="1">
      <c r="B5" s="12" t="s">
        <v>5</v>
      </c>
      <c r="C5" s="128" t="s">
        <v>6</v>
      </c>
      <c r="D5" s="128"/>
      <c r="E5" s="128"/>
      <c r="F5" s="12" t="s">
        <v>7</v>
      </c>
      <c r="G5" s="13" t="s">
        <v>8</v>
      </c>
    </row>
    <row r="6" spans="1:7" ht="15.75" customHeight="1">
      <c r="B6" s="129" t="s">
        <v>9</v>
      </c>
      <c r="C6" s="130" t="str">
        <f>C5&amp;"_"&amp;"CN4_TestCase"&amp;"_"&amp;"v1.0"</f>
        <v>Lab301x_CN4_TestCase_v1.0</v>
      </c>
      <c r="D6" s="130"/>
      <c r="E6" s="130"/>
      <c r="F6" s="12" t="s">
        <v>10</v>
      </c>
      <c r="G6" s="140" t="s">
        <v>115</v>
      </c>
    </row>
    <row r="7" spans="1:7" ht="13.5" customHeight="1">
      <c r="B7" s="129"/>
      <c r="C7" s="130"/>
      <c r="D7" s="130"/>
      <c r="E7" s="130"/>
      <c r="F7" s="12" t="s">
        <v>11</v>
      </c>
      <c r="G7" s="13" t="s">
        <v>12</v>
      </c>
    </row>
    <row r="8" spans="1:7" ht="12.75" customHeight="1">
      <c r="B8" s="14"/>
      <c r="C8" s="15"/>
      <c r="F8" s="9"/>
      <c r="G8" s="10"/>
    </row>
    <row r="9" spans="1:7" ht="12.75" customHeight="1">
      <c r="B9" s="4"/>
    </row>
    <row r="10" spans="1:7" ht="12.75" customHeight="1">
      <c r="B10" s="16" t="s">
        <v>13</v>
      </c>
    </row>
    <row r="11" spans="1:7" s="17" customFormat="1" ht="12.75" customHeight="1">
      <c r="B11" s="18" t="s">
        <v>14</v>
      </c>
      <c r="C11" s="19" t="s">
        <v>11</v>
      </c>
      <c r="D11" s="19" t="s">
        <v>15</v>
      </c>
      <c r="E11" s="19" t="s">
        <v>16</v>
      </c>
      <c r="F11" s="19" t="s">
        <v>17</v>
      </c>
      <c r="G11" s="20" t="s">
        <v>18</v>
      </c>
    </row>
    <row r="12" spans="1:7" s="21" customFormat="1" ht="39" customHeight="1">
      <c r="B12" s="22" t="s">
        <v>115</v>
      </c>
      <c r="C12" s="23" t="s">
        <v>19</v>
      </c>
      <c r="D12" s="24" t="s">
        <v>20</v>
      </c>
      <c r="E12" s="24" t="s">
        <v>21</v>
      </c>
      <c r="F12" s="25" t="s">
        <v>22</v>
      </c>
      <c r="G12" s="26" t="s">
        <v>23</v>
      </c>
    </row>
    <row r="13" spans="1:7" s="21" customFormat="1" ht="21.75" customHeight="1">
      <c r="B13" s="27"/>
      <c r="C13" s="23"/>
      <c r="D13" s="24"/>
      <c r="E13" s="24"/>
      <c r="F13" s="24"/>
      <c r="G13" s="28"/>
    </row>
    <row r="14" spans="1:7" s="21" customFormat="1" ht="19.5" customHeight="1">
      <c r="B14" s="27"/>
      <c r="C14" s="23"/>
      <c r="D14" s="24"/>
      <c r="E14" s="24"/>
      <c r="F14" s="24"/>
      <c r="G14" s="28"/>
    </row>
    <row r="15" spans="1:7" s="21" customFormat="1" ht="21.75" customHeight="1">
      <c r="B15" s="27"/>
      <c r="C15" s="23"/>
      <c r="D15" s="24"/>
      <c r="E15" s="24"/>
      <c r="F15" s="24"/>
      <c r="G15" s="28"/>
    </row>
    <row r="16" spans="1:7" s="21" customFormat="1" ht="19.5" customHeight="1">
      <c r="B16" s="27"/>
      <c r="C16" s="23"/>
      <c r="D16" s="24"/>
      <c r="E16" s="24"/>
      <c r="F16" s="24"/>
      <c r="G16" s="28"/>
    </row>
    <row r="17" spans="2:7" s="21" customFormat="1" ht="21.75" customHeight="1">
      <c r="B17" s="27"/>
      <c r="C17" s="23"/>
      <c r="D17" s="24"/>
      <c r="E17" s="24"/>
      <c r="F17" s="24"/>
      <c r="G17" s="28"/>
    </row>
    <row r="18" spans="2:7" s="21" customFormat="1" ht="19.5" customHeight="1">
      <c r="B18" s="29"/>
      <c r="C18" s="30"/>
      <c r="D18" s="31"/>
      <c r="E18" s="31"/>
      <c r="F18" s="31"/>
      <c r="G18" s="32"/>
    </row>
  </sheetData>
  <mergeCells count="5">
    <mergeCell ref="B2:G2"/>
    <mergeCell ref="C4:E4"/>
    <mergeCell ref="C5:E5"/>
    <mergeCell ref="B6:B7"/>
    <mergeCell ref="C6:E7"/>
  </mergeCells>
  <pageMargins left="0.47013888888888899" right="0.47013888888888899" top="0.5" bottom="0.35138888888888897" header="0.511811023622047" footer="0.17013888888888901"/>
  <pageSetup paperSize="9" orientation="landscape" horizontalDpi="300" verticalDpi="300"/>
  <headerFooter>
    <oddFooter>&amp;L&amp;"Tahoma,Regular"&amp;8 02ae-BM/PM/HDCV/FSOFT v2/0&amp;C&amp;"Tahoma,Regular"&amp;8 Internal use&amp;R&amp;"tahomaTahoma,Regular"&amp;8 &amp;P/&amp;N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W15"/>
  <sheetViews>
    <sheetView zoomScaleNormal="100" workbookViewId="0">
      <selection activeCell="B20" sqref="B20"/>
    </sheetView>
  </sheetViews>
  <sheetFormatPr defaultColWidth="7.77734375" defaultRowHeight="13.8"/>
  <cols>
    <col min="1" max="1" width="22.88671875" style="33" customWidth="1"/>
    <col min="2" max="2" width="27.77734375" style="33" customWidth="1"/>
    <col min="3" max="3" width="22.33203125" style="33" customWidth="1"/>
    <col min="4" max="4" width="61.88671875" style="34" customWidth="1"/>
    <col min="5" max="5" width="14.5546875" style="33" customWidth="1"/>
    <col min="6" max="6" width="44.33203125" style="34" customWidth="1"/>
    <col min="7" max="257" width="7.77734375" style="35"/>
    <col min="258" max="16384" width="7.77734375" style="6"/>
  </cols>
  <sheetData>
    <row r="1" spans="1:6" s="37" customFormat="1" ht="12.75" customHeight="1">
      <c r="A1" s="36" t="s">
        <v>24</v>
      </c>
      <c r="B1" s="36" t="s">
        <v>25</v>
      </c>
      <c r="C1" s="36" t="s">
        <v>26</v>
      </c>
      <c r="D1" s="36" t="s">
        <v>27</v>
      </c>
      <c r="E1" s="36" t="s">
        <v>28</v>
      </c>
      <c r="F1" s="36" t="s">
        <v>29</v>
      </c>
    </row>
    <row r="2" spans="1:6" ht="26.25" customHeight="1">
      <c r="A2" s="38" t="s">
        <v>33</v>
      </c>
      <c r="B2" s="38" t="s">
        <v>34</v>
      </c>
      <c r="C2" s="38" t="s">
        <v>30</v>
      </c>
      <c r="D2" s="38" t="s">
        <v>35</v>
      </c>
      <c r="E2" s="39" t="s">
        <v>31</v>
      </c>
      <c r="F2" s="38"/>
    </row>
    <row r="3" spans="1:6" ht="13.5" customHeight="1">
      <c r="A3" s="38"/>
      <c r="B3" s="38"/>
      <c r="C3" s="38"/>
      <c r="D3" s="38" t="s">
        <v>36</v>
      </c>
      <c r="E3" s="39" t="s">
        <v>31</v>
      </c>
      <c r="F3" s="38" t="s">
        <v>37</v>
      </c>
    </row>
    <row r="4" spans="1:6" ht="13.5" customHeight="1">
      <c r="A4" s="38"/>
      <c r="B4" s="38"/>
      <c r="C4" s="38"/>
      <c r="D4" s="38" t="s">
        <v>38</v>
      </c>
      <c r="E4" s="39" t="s">
        <v>31</v>
      </c>
      <c r="F4" s="38" t="s">
        <v>37</v>
      </c>
    </row>
    <row r="5" spans="1:6" ht="13.5" customHeight="1">
      <c r="A5" s="38"/>
      <c r="B5" s="38"/>
      <c r="C5" s="38"/>
      <c r="D5" s="38" t="s">
        <v>39</v>
      </c>
      <c r="E5" s="39" t="s">
        <v>31</v>
      </c>
      <c r="F5" s="38" t="s">
        <v>37</v>
      </c>
    </row>
    <row r="6" spans="1:6" ht="13.5" customHeight="1">
      <c r="A6" s="38"/>
      <c r="B6" s="38"/>
      <c r="C6" s="38"/>
      <c r="D6" s="38" t="s">
        <v>40</v>
      </c>
      <c r="E6" s="39" t="s">
        <v>31</v>
      </c>
      <c r="F6" s="38" t="s">
        <v>37</v>
      </c>
    </row>
    <row r="7" spans="1:6" ht="13.5" customHeight="1">
      <c r="A7" s="38"/>
      <c r="B7" s="38"/>
      <c r="C7" s="38"/>
      <c r="D7" s="38" t="s">
        <v>41</v>
      </c>
      <c r="E7" s="39" t="s">
        <v>31</v>
      </c>
      <c r="F7" s="38" t="s">
        <v>42</v>
      </c>
    </row>
    <row r="8" spans="1:6" ht="13.5" customHeight="1">
      <c r="A8" s="38"/>
      <c r="B8" s="38"/>
      <c r="C8" s="38"/>
      <c r="D8" s="38" t="s">
        <v>43</v>
      </c>
      <c r="E8" s="39" t="s">
        <v>31</v>
      </c>
      <c r="F8" s="38" t="s">
        <v>44</v>
      </c>
    </row>
    <row r="9" spans="1:6" ht="13.5" customHeight="1">
      <c r="A9" s="38"/>
      <c r="B9" s="38"/>
      <c r="C9" s="38"/>
      <c r="D9" s="38" t="s">
        <v>45</v>
      </c>
      <c r="E9" s="39" t="s">
        <v>31</v>
      </c>
      <c r="F9" s="38" t="s">
        <v>44</v>
      </c>
    </row>
    <row r="10" spans="1:6" ht="13.5" customHeight="1">
      <c r="A10" s="38"/>
      <c r="B10" s="38"/>
      <c r="C10" s="38"/>
      <c r="D10" s="38" t="s">
        <v>46</v>
      </c>
      <c r="E10" s="39" t="s">
        <v>31</v>
      </c>
      <c r="F10" s="38" t="s">
        <v>47</v>
      </c>
    </row>
    <row r="11" spans="1:6" ht="13.5" customHeight="1">
      <c r="A11" s="38"/>
      <c r="B11" s="38"/>
      <c r="C11" s="38"/>
      <c r="D11" s="38" t="s">
        <v>48</v>
      </c>
      <c r="E11" s="39" t="s">
        <v>31</v>
      </c>
      <c r="F11" s="38"/>
    </row>
    <row r="12" spans="1:6" ht="13.5" customHeight="1">
      <c r="A12" s="38"/>
      <c r="B12" s="38"/>
      <c r="C12" s="38"/>
      <c r="D12" s="38" t="s">
        <v>49</v>
      </c>
      <c r="E12" s="39" t="s">
        <v>31</v>
      </c>
      <c r="F12" s="38" t="s">
        <v>50</v>
      </c>
    </row>
    <row r="13" spans="1:6" ht="13.5" customHeight="1">
      <c r="A13" s="38"/>
      <c r="B13" s="38"/>
      <c r="C13" s="38"/>
      <c r="D13" s="38" t="s">
        <v>116</v>
      </c>
      <c r="E13" s="39" t="s">
        <v>31</v>
      </c>
      <c r="F13" s="38" t="s">
        <v>118</v>
      </c>
    </row>
    <row r="14" spans="1:6" ht="13.5" customHeight="1">
      <c r="A14" s="38"/>
      <c r="B14" s="38"/>
      <c r="C14" s="38"/>
      <c r="D14" s="38" t="s">
        <v>117</v>
      </c>
      <c r="E14" s="39" t="s">
        <v>31</v>
      </c>
      <c r="F14" s="38" t="s">
        <v>119</v>
      </c>
    </row>
    <row r="15" spans="1:6" ht="13.5" customHeight="1">
      <c r="A15" s="38"/>
      <c r="B15" s="38" t="s">
        <v>51</v>
      </c>
      <c r="C15" s="38" t="s">
        <v>32</v>
      </c>
      <c r="D15" s="38" t="s">
        <v>52</v>
      </c>
      <c r="E15" s="39" t="s">
        <v>31</v>
      </c>
      <c r="F15" s="38"/>
    </row>
  </sheetData>
  <autoFilter ref="A1:F14" xr:uid="{00000000-0009-0000-0000-000001000000}"/>
  <pageMargins left="0.39374999999999999" right="0.39374999999999999" top="0.39374999999999999" bottom="0.39374999999999999" header="0.511811023622047" footer="0.511811023622047"/>
  <pageSetup paperSize="9" scale="93" orientation="landscape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W19"/>
  <sheetViews>
    <sheetView zoomScaleNormal="100" workbookViewId="0">
      <selection activeCell="E17" sqref="E17"/>
    </sheetView>
  </sheetViews>
  <sheetFormatPr defaultColWidth="9" defaultRowHeight="13.8"/>
  <cols>
    <col min="1" max="1" width="1.33203125" style="40" customWidth="1"/>
    <col min="2" max="2" width="11.6640625" style="41" customWidth="1"/>
    <col min="3" max="3" width="26.44140625" style="42" customWidth="1"/>
    <col min="4" max="4" width="17.109375" style="42" customWidth="1"/>
    <col min="5" max="5" width="28.109375" style="42" customWidth="1"/>
    <col min="6" max="6" width="30.6640625" style="42" customWidth="1"/>
    <col min="7" max="257" width="9" style="40"/>
  </cols>
  <sheetData>
    <row r="1" spans="2:6" ht="24.75" customHeight="1">
      <c r="B1" s="43"/>
      <c r="D1" s="44" t="s">
        <v>53</v>
      </c>
      <c r="E1" s="45"/>
    </row>
    <row r="2" spans="2:6" ht="13.5" customHeight="1">
      <c r="B2" s="43"/>
      <c r="D2" s="46"/>
      <c r="E2" s="46"/>
    </row>
    <row r="3" spans="2:6" ht="12.75" customHeight="1">
      <c r="B3" s="131" t="s">
        <v>1</v>
      </c>
      <c r="C3" s="131"/>
      <c r="D3" s="132" t="str">
        <f>Cover!C4</f>
        <v>Dò vé số</v>
      </c>
      <c r="E3" s="132"/>
      <c r="F3" s="132"/>
    </row>
    <row r="4" spans="2:6" ht="12.75" customHeight="1">
      <c r="B4" s="131" t="s">
        <v>5</v>
      </c>
      <c r="C4" s="131"/>
      <c r="D4" s="132" t="str">
        <f>Cover!C5</f>
        <v>Lab301x</v>
      </c>
      <c r="E4" s="132"/>
      <c r="F4" s="132"/>
    </row>
    <row r="5" spans="2:6" s="47" customFormat="1" ht="84.75" customHeight="1">
      <c r="B5" s="133" t="s">
        <v>54</v>
      </c>
      <c r="C5" s="133"/>
      <c r="D5" s="134" t="s">
        <v>120</v>
      </c>
      <c r="E5" s="134"/>
      <c r="F5" s="134"/>
    </row>
    <row r="6" spans="2:6" ht="12.75" customHeight="1">
      <c r="B6" s="48"/>
      <c r="C6" s="40"/>
      <c r="D6" s="40"/>
      <c r="E6" s="40"/>
      <c r="F6" s="40"/>
    </row>
    <row r="7" spans="2:6" s="49" customFormat="1" ht="12.75" customHeight="1">
      <c r="B7" s="50"/>
      <c r="C7" s="51"/>
      <c r="D7" s="51"/>
      <c r="E7" s="51"/>
      <c r="F7" s="51"/>
    </row>
    <row r="8" spans="2:6" s="52" customFormat="1" ht="21" customHeight="1">
      <c r="B8" s="53" t="s">
        <v>55</v>
      </c>
      <c r="C8" s="54" t="s">
        <v>56</v>
      </c>
      <c r="D8" s="54" t="s">
        <v>57</v>
      </c>
      <c r="E8" s="55" t="s">
        <v>58</v>
      </c>
      <c r="F8" s="56" t="s">
        <v>59</v>
      </c>
    </row>
    <row r="9" spans="2:6" ht="25.5" customHeight="1">
      <c r="B9" s="139">
        <v>1</v>
      </c>
      <c r="C9" s="58" t="s">
        <v>61</v>
      </c>
      <c r="D9" s="120" t="s">
        <v>60</v>
      </c>
      <c r="E9" s="60" t="s">
        <v>62</v>
      </c>
      <c r="F9" s="61" t="s">
        <v>63</v>
      </c>
    </row>
    <row r="10" spans="2:6" ht="12.75" customHeight="1">
      <c r="B10" s="57"/>
      <c r="C10" s="58"/>
      <c r="D10" s="59"/>
      <c r="E10" s="59"/>
      <c r="F10" s="62"/>
    </row>
    <row r="11" spans="2:6" ht="12.75" customHeight="1">
      <c r="B11" s="57"/>
      <c r="C11" s="58"/>
      <c r="D11" s="59"/>
      <c r="E11" s="59"/>
      <c r="F11" s="62"/>
    </row>
    <row r="12" spans="2:6" ht="12.75" customHeight="1">
      <c r="B12" s="57"/>
      <c r="C12" s="58"/>
      <c r="D12" s="59"/>
      <c r="E12" s="63"/>
      <c r="F12" s="62"/>
    </row>
    <row r="13" spans="2:6" ht="12.75" customHeight="1">
      <c r="B13" s="57"/>
      <c r="C13" s="58"/>
      <c r="D13" s="59"/>
      <c r="E13" s="63"/>
      <c r="F13" s="62"/>
    </row>
    <row r="14" spans="2:6" ht="12.75" customHeight="1">
      <c r="B14" s="64"/>
      <c r="C14" s="65"/>
      <c r="D14" s="66"/>
      <c r="E14" s="66"/>
      <c r="F14" s="67"/>
    </row>
    <row r="15" spans="2:6" ht="12.75" customHeight="1">
      <c r="B15" s="64"/>
      <c r="C15" s="65"/>
      <c r="D15" s="66"/>
      <c r="E15" s="66"/>
      <c r="F15" s="67"/>
    </row>
    <row r="16" spans="2:6" ht="12.75" customHeight="1">
      <c r="B16" s="64"/>
      <c r="C16" s="65"/>
      <c r="D16" s="66"/>
      <c r="E16" s="66"/>
      <c r="F16" s="67"/>
    </row>
    <row r="17" spans="2:6" ht="12.75" customHeight="1">
      <c r="B17" s="64"/>
      <c r="C17" s="65"/>
      <c r="D17" s="66"/>
      <c r="E17" s="66"/>
      <c r="F17" s="67"/>
    </row>
    <row r="18" spans="2:6" ht="12.75" customHeight="1">
      <c r="B18" s="64"/>
      <c r="C18" s="65"/>
      <c r="D18" s="66"/>
      <c r="E18" s="66"/>
      <c r="F18" s="67"/>
    </row>
    <row r="19" spans="2:6" ht="12.75" customHeight="1">
      <c r="B19" s="68"/>
      <c r="C19" s="69"/>
      <c r="D19" s="70"/>
      <c r="E19" s="70"/>
      <c r="F19" s="71"/>
    </row>
  </sheetData>
  <mergeCells count="6">
    <mergeCell ref="B3:C3"/>
    <mergeCell ref="D3:F3"/>
    <mergeCell ref="B4:C4"/>
    <mergeCell ref="D4:F4"/>
    <mergeCell ref="B5:C5"/>
    <mergeCell ref="D5:F5"/>
  </mergeCells>
  <hyperlinks>
    <hyperlink ref="D9" location="Module1!B14" display="Module1" xr:uid="{00000000-0004-0000-0200-000001000000}"/>
  </hyperlinks>
  <pageMargins left="0.74791666666666701" right="0.74791666666666701" top="0.98402777777777795" bottom="1.15069444444444" header="0.511811023622047" footer="0.98402777777777795"/>
  <pageSetup paperSize="9" orientation="landscape" horizontalDpi="300" verticalDpi="300"/>
  <headerFooter>
    <oddFooter>&amp;L&amp;"Tahoma,Regular"&amp;8 02ae-BM/PM/HDCV/FSOFT v2/0&amp;C&amp;"tahoma,Regular"&amp;8 Internal use&amp;R&amp;"tahoma,Regular"&amp;8 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W24"/>
  <sheetViews>
    <sheetView zoomScale="85" zoomScaleNormal="85" workbookViewId="0">
      <selection activeCell="H32" sqref="H32"/>
    </sheetView>
  </sheetViews>
  <sheetFormatPr defaultColWidth="9" defaultRowHeight="13.8"/>
  <cols>
    <col min="1" max="1" width="17.44140625" style="47" customWidth="1"/>
    <col min="2" max="5" width="40.77734375" style="47" customWidth="1"/>
    <col min="6" max="7" width="10.77734375" style="47" customWidth="1"/>
    <col min="8" max="8" width="20.88671875" style="47" customWidth="1"/>
    <col min="9" max="9" width="8.109375" style="72" customWidth="1"/>
    <col min="10" max="10" width="8.44140625" style="47" customWidth="1"/>
    <col min="11" max="257" width="9" style="47"/>
    <col min="258" max="16384" width="9" style="73"/>
  </cols>
  <sheetData>
    <row r="1" spans="1:10" s="77" customFormat="1" ht="12.75" customHeight="1">
      <c r="A1" s="74"/>
      <c r="B1" s="74"/>
      <c r="C1" s="74"/>
      <c r="D1" s="74"/>
      <c r="E1" s="74"/>
      <c r="F1" s="75"/>
      <c r="G1" s="76"/>
      <c r="H1" s="47"/>
      <c r="I1" s="72"/>
    </row>
    <row r="2" spans="1:10" s="77" customFormat="1" ht="12.75" customHeight="1">
      <c r="A2" s="78" t="s">
        <v>64</v>
      </c>
      <c r="B2" s="135" t="s">
        <v>60</v>
      </c>
      <c r="C2" s="135"/>
      <c r="D2" s="135"/>
      <c r="E2" s="135"/>
      <c r="F2" s="135"/>
      <c r="G2" s="135"/>
      <c r="H2" s="135"/>
      <c r="I2" s="72"/>
      <c r="J2" s="77" t="s">
        <v>65</v>
      </c>
    </row>
    <row r="3" spans="1:10" s="77" customFormat="1" ht="12.75" customHeight="1">
      <c r="A3" s="79" t="s">
        <v>66</v>
      </c>
      <c r="B3" s="136" t="s">
        <v>114</v>
      </c>
      <c r="C3" s="136"/>
      <c r="D3" s="136"/>
      <c r="E3" s="136"/>
      <c r="F3" s="136"/>
      <c r="G3" s="136"/>
      <c r="H3" s="136"/>
      <c r="I3" s="72"/>
      <c r="J3" s="77" t="s">
        <v>67</v>
      </c>
    </row>
    <row r="4" spans="1:10" s="77" customFormat="1" ht="12.75" customHeight="1">
      <c r="A4" s="78" t="s">
        <v>68</v>
      </c>
      <c r="B4" s="135"/>
      <c r="C4" s="135"/>
      <c r="D4" s="135"/>
      <c r="E4" s="135"/>
      <c r="F4" s="135"/>
      <c r="G4" s="135"/>
      <c r="H4" s="135"/>
      <c r="I4" s="72"/>
      <c r="J4" s="77" t="s">
        <v>69</v>
      </c>
    </row>
    <row r="5" spans="1:10" s="77" customFormat="1" ht="12.75" customHeight="1">
      <c r="A5" s="80" t="s">
        <v>65</v>
      </c>
      <c r="B5" s="3" t="s">
        <v>67</v>
      </c>
      <c r="C5" s="3" t="s">
        <v>70</v>
      </c>
      <c r="D5" s="3" t="s">
        <v>69</v>
      </c>
      <c r="E5" s="81" t="s">
        <v>71</v>
      </c>
      <c r="F5" s="137" t="s">
        <v>72</v>
      </c>
      <c r="G5" s="137"/>
      <c r="H5" s="137"/>
      <c r="I5" s="82"/>
      <c r="J5" s="77" t="s">
        <v>70</v>
      </c>
    </row>
    <row r="6" spans="1:10" s="77" customFormat="1" ht="12.75" customHeight="1">
      <c r="A6" s="83">
        <f>COUNTIF(F9:F995,"Passed")</f>
        <v>14</v>
      </c>
      <c r="B6" s="2">
        <f>COUNTIF(F9:F995,"Failed")</f>
        <v>0</v>
      </c>
      <c r="C6" s="2">
        <f>F6-E6-D6-B6-A6</f>
        <v>0</v>
      </c>
      <c r="D6" s="2">
        <f>COUNTIF(F$9:F$995,"Blocked")</f>
        <v>0</v>
      </c>
      <c r="E6" s="84">
        <f>COUNTIF(F$9:F$995,"Skipped")</f>
        <v>0</v>
      </c>
      <c r="F6" s="138">
        <f>COUNTA(A9:A995)</f>
        <v>14</v>
      </c>
      <c r="G6" s="138"/>
      <c r="H6" s="138"/>
      <c r="I6" s="82"/>
      <c r="J6" s="77" t="s">
        <v>71</v>
      </c>
    </row>
    <row r="7" spans="1:10" s="77" customFormat="1" ht="12.75" customHeight="1">
      <c r="D7" s="85"/>
      <c r="E7" s="85"/>
      <c r="F7" s="86"/>
      <c r="G7" s="86"/>
      <c r="H7" s="86"/>
      <c r="I7" s="82"/>
    </row>
    <row r="8" spans="1:10" s="77" customFormat="1" ht="12.75" customHeight="1">
      <c r="A8" s="36" t="s">
        <v>73</v>
      </c>
      <c r="B8" s="36" t="s">
        <v>74</v>
      </c>
      <c r="C8" s="36" t="s">
        <v>75</v>
      </c>
      <c r="D8" s="36" t="s">
        <v>76</v>
      </c>
      <c r="E8" s="36" t="s">
        <v>77</v>
      </c>
      <c r="F8" s="36" t="s">
        <v>78</v>
      </c>
      <c r="G8" s="36" t="s">
        <v>79</v>
      </c>
      <c r="H8" s="36" t="s">
        <v>29</v>
      </c>
      <c r="I8" s="87"/>
    </row>
    <row r="9" spans="1:10" s="77" customFormat="1" ht="12.75" customHeight="1">
      <c r="A9" s="88"/>
      <c r="B9" s="88" t="s">
        <v>34</v>
      </c>
      <c r="C9" s="88"/>
      <c r="D9" s="88"/>
      <c r="E9" s="88"/>
      <c r="F9" s="88"/>
      <c r="G9" s="88"/>
      <c r="H9" s="88"/>
    </row>
    <row r="10" spans="1:10" s="91" customFormat="1" ht="52.8">
      <c r="A10" s="89" t="str">
        <f>IF(OR(B10&lt;&gt;"",D10&lt;&gt;""),"[" &amp;TEXT($B$2,"##")&amp;"-"&amp;TEXT(1,"00")&amp;"]","")</f>
        <v>[Module1-01]</v>
      </c>
      <c r="B10" s="89" t="s">
        <v>35</v>
      </c>
      <c r="C10" s="89" t="s">
        <v>80</v>
      </c>
      <c r="D10" s="89" t="s">
        <v>81</v>
      </c>
      <c r="E10" s="89"/>
      <c r="F10" s="90" t="s">
        <v>65</v>
      </c>
      <c r="G10" s="119" t="s">
        <v>115</v>
      </c>
      <c r="H10" s="89"/>
    </row>
    <row r="11" spans="1:10" ht="52.8">
      <c r="A11" s="89" t="str">
        <f>IF(OR(B11&lt;&gt;"",D11&lt;&gt;""),"[" &amp;TEXT($B$2,"##")&amp;"-"&amp;TEXT(2,"00")&amp;"]","")</f>
        <v>[Module1-02]</v>
      </c>
      <c r="B11" s="89" t="s">
        <v>36</v>
      </c>
      <c r="C11" s="89" t="s">
        <v>82</v>
      </c>
      <c r="D11" s="89" t="s">
        <v>83</v>
      </c>
      <c r="E11" s="89" t="s">
        <v>37</v>
      </c>
      <c r="F11" s="90" t="s">
        <v>65</v>
      </c>
      <c r="G11" s="119" t="s">
        <v>115</v>
      </c>
      <c r="H11" s="89"/>
    </row>
    <row r="12" spans="1:10" ht="39" customHeight="1">
      <c r="A12" s="89" t="str">
        <f>IF(OR(B12&lt;&gt;"",D12&lt;&gt;""),"[" &amp;TEXT($B$2,"##")&amp;"-"&amp;TEXT(3,"00")&amp;"]","")</f>
        <v>[Module1-03]</v>
      </c>
      <c r="B12" s="89" t="s">
        <v>38</v>
      </c>
      <c r="C12" s="89" t="s">
        <v>84</v>
      </c>
      <c r="D12" s="89" t="s">
        <v>85</v>
      </c>
      <c r="E12" s="89" t="s">
        <v>37</v>
      </c>
      <c r="F12" s="90" t="s">
        <v>65</v>
      </c>
      <c r="G12" s="119" t="s">
        <v>115</v>
      </c>
      <c r="H12" s="89"/>
    </row>
    <row r="13" spans="1:10" s="77" customFormat="1" ht="51.75" customHeight="1">
      <c r="A13" s="89" t="str">
        <f>IF(OR(B13&lt;&gt;"",D13&lt;&gt;""),"[" &amp;TEXT($B$2,"##")&amp;"-"&amp;TEXT(4,"00")&amp;"]","")</f>
        <v>[Module1-04]</v>
      </c>
      <c r="B13" s="89" t="s">
        <v>39</v>
      </c>
      <c r="C13" s="89" t="s">
        <v>86</v>
      </c>
      <c r="D13" s="89" t="s">
        <v>87</v>
      </c>
      <c r="E13" s="89" t="s">
        <v>37</v>
      </c>
      <c r="F13" s="90" t="s">
        <v>65</v>
      </c>
      <c r="G13" s="119" t="s">
        <v>115</v>
      </c>
      <c r="H13" s="89"/>
    </row>
    <row r="14" spans="1:10" ht="26.25" customHeight="1">
      <c r="A14" s="89" t="str">
        <f>IF(OR(B14&lt;&gt;"",D14&lt;&gt;""),"[" &amp;TEXT($B$2,"##")&amp;"-"&amp;TEXT(5,"00")&amp;"]","")</f>
        <v>[Module1-05]</v>
      </c>
      <c r="B14" s="89" t="s">
        <v>40</v>
      </c>
      <c r="C14" s="89" t="s">
        <v>88</v>
      </c>
      <c r="D14" s="89" t="s">
        <v>89</v>
      </c>
      <c r="E14" s="89" t="s">
        <v>37</v>
      </c>
      <c r="F14" s="90" t="s">
        <v>65</v>
      </c>
      <c r="G14" s="119" t="s">
        <v>115</v>
      </c>
      <c r="H14" s="89"/>
    </row>
    <row r="15" spans="1:10" ht="26.4">
      <c r="A15" s="89" t="str">
        <f>IF(OR(B15&lt;&gt;"",D15&lt;&gt;""),"[" &amp;TEXT($B$2,"##")&amp;"-"&amp;TEXT(6,"00")&amp;"]","")</f>
        <v>[Module1-06]</v>
      </c>
      <c r="B15" s="89" t="s">
        <v>41</v>
      </c>
      <c r="C15" s="89" t="s">
        <v>90</v>
      </c>
      <c r="D15" s="89" t="s">
        <v>91</v>
      </c>
      <c r="E15" s="89" t="s">
        <v>42</v>
      </c>
      <c r="F15" s="90" t="s">
        <v>65</v>
      </c>
      <c r="G15" s="119" t="s">
        <v>115</v>
      </c>
      <c r="H15" s="89"/>
    </row>
    <row r="16" spans="1:10" s="77" customFormat="1" ht="39.6">
      <c r="A16" s="89" t="str">
        <f>IF(OR(B16&lt;&gt;"",D16&lt;&gt;""),"[" &amp;TEXT($B$2,"##")&amp;"-"&amp;TEXT(7,"00")&amp;"]","")</f>
        <v>[Module1-07]</v>
      </c>
      <c r="B16" s="89" t="s">
        <v>43</v>
      </c>
      <c r="C16" s="89" t="s">
        <v>92</v>
      </c>
      <c r="D16" s="89" t="s">
        <v>93</v>
      </c>
      <c r="E16" s="89" t="s">
        <v>44</v>
      </c>
      <c r="F16" s="90" t="s">
        <v>65</v>
      </c>
      <c r="G16" s="119" t="s">
        <v>115</v>
      </c>
      <c r="H16" s="89"/>
    </row>
    <row r="17" spans="1:8" ht="51.75" customHeight="1">
      <c r="A17" s="89" t="str">
        <f>IF(OR(B17&lt;&gt;"",D17&lt;&gt;""),"[" &amp;TEXT($B$2,"##")&amp;"-"&amp;TEXT(8,"00")&amp;"]","")</f>
        <v>[Module1-08]</v>
      </c>
      <c r="B17" s="89" t="s">
        <v>45</v>
      </c>
      <c r="C17" s="89" t="s">
        <v>94</v>
      </c>
      <c r="D17" s="89" t="s">
        <v>95</v>
      </c>
      <c r="E17" s="89" t="s">
        <v>44</v>
      </c>
      <c r="F17" s="90" t="s">
        <v>65</v>
      </c>
      <c r="G17" s="119" t="s">
        <v>115</v>
      </c>
      <c r="H17" s="89"/>
    </row>
    <row r="18" spans="1:8" ht="26.25" customHeight="1">
      <c r="A18" s="89" t="str">
        <f>IF(OR(B18&lt;&gt;"",D18&lt;&gt;""),"[" &amp;TEXT($B$2,"##")&amp;"-"&amp;TEXT(9,"00")&amp;"]","")</f>
        <v>[Module1-09]</v>
      </c>
      <c r="B18" s="89" t="s">
        <v>46</v>
      </c>
      <c r="C18" s="89" t="s">
        <v>96</v>
      </c>
      <c r="D18" s="89" t="s">
        <v>97</v>
      </c>
      <c r="E18" s="89" t="s">
        <v>47</v>
      </c>
      <c r="F18" s="90" t="s">
        <v>65</v>
      </c>
      <c r="G18" s="119" t="s">
        <v>115</v>
      </c>
      <c r="H18" s="89"/>
    </row>
    <row r="19" spans="1:8" ht="39" customHeight="1">
      <c r="A19" s="89" t="str">
        <f>IF(OR(B19&lt;&gt;"",D19&lt;&gt;""),"[" &amp;TEXT($B$2,"##")&amp;"-"&amp;TEXT(10,"00")&amp;"]","")</f>
        <v>[Module1-10]</v>
      </c>
      <c r="B19" s="89" t="s">
        <v>48</v>
      </c>
      <c r="C19" s="89" t="s">
        <v>98</v>
      </c>
      <c r="D19" s="89" t="s">
        <v>99</v>
      </c>
      <c r="E19" s="89"/>
      <c r="F19" s="90" t="s">
        <v>65</v>
      </c>
      <c r="G19" s="119" t="s">
        <v>115</v>
      </c>
      <c r="H19" s="89"/>
    </row>
    <row r="20" spans="1:8" ht="39.6">
      <c r="A20" s="89" t="str">
        <f>IF(OR(B20&lt;&gt;"",D20&lt;&gt;""),"[" &amp;TEXT($B$2,"##")&amp;"-"&amp;TEXT(11,"00")&amp;"]","")</f>
        <v>[Module1-11]</v>
      </c>
      <c r="B20" s="89" t="s">
        <v>49</v>
      </c>
      <c r="C20" s="89" t="s">
        <v>100</v>
      </c>
      <c r="D20" s="89" t="s">
        <v>101</v>
      </c>
      <c r="E20" s="89" t="s">
        <v>50</v>
      </c>
      <c r="F20" s="90" t="s">
        <v>65</v>
      </c>
      <c r="G20" s="119" t="s">
        <v>115</v>
      </c>
      <c r="H20" s="89"/>
    </row>
    <row r="21" spans="1:8" ht="52.8">
      <c r="A21" s="89" t="str">
        <f>IF(OR(B21&lt;&gt;"",D21&lt;&gt;""),"[" &amp;TEXT($B$2,"##")&amp;"-"&amp;TEXT(12,"00")&amp;"]","")</f>
        <v>[Module1-12]</v>
      </c>
      <c r="B21" s="89" t="s">
        <v>116</v>
      </c>
      <c r="C21" s="89" t="s">
        <v>121</v>
      </c>
      <c r="D21" s="89" t="s">
        <v>83</v>
      </c>
      <c r="E21" s="89" t="s">
        <v>118</v>
      </c>
      <c r="F21" s="90" t="s">
        <v>65</v>
      </c>
      <c r="G21" s="119" t="s">
        <v>115</v>
      </c>
      <c r="H21" s="89"/>
    </row>
    <row r="22" spans="1:8" ht="52.8">
      <c r="A22" s="89" t="str">
        <f>IF(OR(B22&lt;&gt;"",D22&lt;&gt;""),"[" &amp;TEXT($B$2,"##")&amp;"-"&amp;TEXT(13,"00")&amp;"]","")</f>
        <v>[Module1-13]</v>
      </c>
      <c r="B22" s="89" t="s">
        <v>117</v>
      </c>
      <c r="C22" s="89" t="s">
        <v>122</v>
      </c>
      <c r="D22" s="89" t="s">
        <v>123</v>
      </c>
      <c r="E22" s="89" t="s">
        <v>119</v>
      </c>
      <c r="F22" s="90" t="s">
        <v>65</v>
      </c>
      <c r="G22" s="119" t="s">
        <v>115</v>
      </c>
      <c r="H22" s="89"/>
    </row>
    <row r="23" spans="1:8" ht="12.75" customHeight="1">
      <c r="A23" s="88"/>
      <c r="B23" s="88" t="s">
        <v>51</v>
      </c>
      <c r="C23" s="88"/>
      <c r="D23" s="88"/>
      <c r="E23" s="88"/>
      <c r="F23" s="88"/>
      <c r="G23" s="88"/>
      <c r="H23" s="88"/>
    </row>
    <row r="24" spans="1:8" ht="26.25" customHeight="1">
      <c r="A24" s="89" t="str">
        <f>IF(OR(B24&lt;&gt;"",D24&lt;&gt;""),"[" &amp;TEXT($B$2,"##")&amp;"-"&amp;TEXT(14,"00")&amp;"]","")</f>
        <v>[Module1-14]</v>
      </c>
      <c r="B24" s="89" t="s">
        <v>52</v>
      </c>
      <c r="C24" s="89" t="s">
        <v>102</v>
      </c>
      <c r="D24" s="89" t="s">
        <v>103</v>
      </c>
      <c r="E24" s="89"/>
      <c r="F24" s="90" t="s">
        <v>65</v>
      </c>
      <c r="G24" s="119" t="s">
        <v>115</v>
      </c>
      <c r="H24" s="89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qref="F7:F144" xr:uid="{00000000-0002-0000-0400-000000000000}">
      <formula1>$J$2:$J$6</formula1>
      <formula2>0</formula2>
    </dataValidation>
  </dataValidations>
  <pageMargins left="0.74791666666666701" right="0.25" top="0.75" bottom="0.98402777777777795" header="0.511811023622047" footer="0.511811023622047"/>
  <pageSetup paperSize="9" orientation="landscape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W17"/>
  <sheetViews>
    <sheetView zoomScale="85" zoomScaleNormal="85" workbookViewId="0">
      <selection activeCell="D22" sqref="D22"/>
    </sheetView>
  </sheetViews>
  <sheetFormatPr defaultColWidth="9" defaultRowHeight="13.8"/>
  <cols>
    <col min="1" max="1" width="9" style="11"/>
    <col min="2" max="2" width="13.44140625" style="11" customWidth="1"/>
    <col min="3" max="3" width="19.33203125" style="11" customWidth="1"/>
    <col min="4" max="7" width="9" style="11"/>
    <col min="8" max="8" width="9.109375" style="11" customWidth="1"/>
    <col min="9" max="9" width="23.44140625" style="11" customWidth="1"/>
    <col min="10" max="257" width="9" style="11"/>
    <col min="258" max="16384" width="9" style="6"/>
  </cols>
  <sheetData>
    <row r="1" spans="1:9" ht="25.5" customHeight="1">
      <c r="B1" s="126" t="s">
        <v>104</v>
      </c>
      <c r="C1" s="126"/>
      <c r="D1" s="126"/>
      <c r="E1" s="126"/>
      <c r="F1" s="126"/>
      <c r="G1" s="126"/>
      <c r="H1" s="126"/>
    </row>
    <row r="2" spans="1:9" ht="14.25" customHeight="1">
      <c r="A2" s="92"/>
      <c r="B2" s="92"/>
      <c r="H2" s="93"/>
    </row>
    <row r="3" spans="1:9" ht="12" customHeight="1">
      <c r="B3" s="1" t="s">
        <v>1</v>
      </c>
      <c r="C3" s="121" t="s">
        <v>2</v>
      </c>
      <c r="D3" s="121"/>
      <c r="E3" s="122" t="s">
        <v>3</v>
      </c>
      <c r="F3" s="122"/>
      <c r="G3" s="94" t="s">
        <v>4</v>
      </c>
      <c r="H3" s="95"/>
    </row>
    <row r="4" spans="1:9" ht="12" customHeight="1">
      <c r="B4" s="1" t="s">
        <v>5</v>
      </c>
      <c r="C4" s="121" t="s">
        <v>6</v>
      </c>
      <c r="D4" s="121"/>
      <c r="E4" s="122" t="s">
        <v>7</v>
      </c>
      <c r="F4" s="122"/>
      <c r="G4" s="94" t="s">
        <v>8</v>
      </c>
      <c r="H4" s="95"/>
    </row>
    <row r="5" spans="1:9" ht="12" customHeight="1">
      <c r="B5" s="96" t="s">
        <v>9</v>
      </c>
      <c r="C5" s="121" t="str">
        <f>C4&amp;"_"&amp;"CN4_TestCase"&amp;"_"&amp;"v1.0"</f>
        <v>Lab301x_CN4_TestCase_v1.0</v>
      </c>
      <c r="D5" s="121"/>
      <c r="E5" s="122" t="s">
        <v>10</v>
      </c>
      <c r="F5" s="122"/>
      <c r="G5" s="123" t="s">
        <v>115</v>
      </c>
      <c r="H5" s="124"/>
    </row>
    <row r="6" spans="1:9" ht="30" customHeight="1">
      <c r="A6" s="92"/>
      <c r="B6" s="96" t="s">
        <v>105</v>
      </c>
      <c r="C6" s="125" t="s">
        <v>124</v>
      </c>
      <c r="D6" s="125"/>
      <c r="E6" s="125"/>
      <c r="F6" s="125"/>
      <c r="G6" s="125"/>
      <c r="H6" s="125"/>
    </row>
    <row r="7" spans="1:9" ht="14.25" customHeight="1">
      <c r="A7" s="92"/>
      <c r="B7" s="14"/>
      <c r="C7" s="97"/>
      <c r="G7" s="93"/>
      <c r="H7" s="93"/>
    </row>
    <row r="8" spans="1:9" ht="12.75" customHeight="1">
      <c r="B8" s="14"/>
      <c r="C8" s="97"/>
      <c r="H8" s="93"/>
    </row>
    <row r="9" spans="1:9" ht="13.5" customHeight="1">
      <c r="B9" s="98" t="s">
        <v>55</v>
      </c>
      <c r="C9" s="99" t="s">
        <v>106</v>
      </c>
      <c r="D9" s="100" t="s">
        <v>107</v>
      </c>
      <c r="E9" s="99" t="s">
        <v>108</v>
      </c>
      <c r="F9" s="99" t="s">
        <v>70</v>
      </c>
      <c r="G9" s="101" t="s">
        <v>69</v>
      </c>
      <c r="H9" s="102" t="s">
        <v>71</v>
      </c>
      <c r="I9" s="103" t="s">
        <v>109</v>
      </c>
    </row>
    <row r="10" spans="1:9" ht="12.75" customHeight="1">
      <c r="B10" s="104">
        <v>1</v>
      </c>
      <c r="C10" s="105" t="str">
        <f>Module1!B2</f>
        <v>Module1</v>
      </c>
      <c r="D10" s="106">
        <f>Module1!A6</f>
        <v>14</v>
      </c>
      <c r="E10" s="106">
        <f>Module1!B6</f>
        <v>0</v>
      </c>
      <c r="F10" s="106">
        <f>Module1!C6</f>
        <v>0</v>
      </c>
      <c r="G10" s="106">
        <f>Module1!D6</f>
        <v>0</v>
      </c>
      <c r="H10" s="106">
        <f>Module1!E6</f>
        <v>0</v>
      </c>
      <c r="I10" s="107">
        <f>Module1!F6</f>
        <v>14</v>
      </c>
    </row>
    <row r="11" spans="1:9" ht="12.75" customHeight="1">
      <c r="B11" s="104"/>
      <c r="C11" s="105"/>
      <c r="D11" s="106"/>
      <c r="E11" s="106"/>
      <c r="F11" s="106"/>
      <c r="G11" s="106"/>
      <c r="H11" s="106"/>
      <c r="I11" s="107"/>
    </row>
    <row r="12" spans="1:9" ht="12.75" customHeight="1">
      <c r="B12" s="104"/>
      <c r="C12" s="105"/>
      <c r="D12" s="106"/>
      <c r="E12" s="106"/>
      <c r="F12" s="106"/>
      <c r="G12" s="106"/>
      <c r="H12" s="106"/>
      <c r="I12" s="107"/>
    </row>
    <row r="13" spans="1:9" ht="12.75" customHeight="1">
      <c r="B13" s="108"/>
      <c r="C13" s="109" t="s">
        <v>110</v>
      </c>
      <c r="D13" s="110">
        <f t="shared" ref="D13:I13" si="0">SUM(D10:D12)</f>
        <v>14</v>
      </c>
      <c r="E13" s="110">
        <f t="shared" si="0"/>
        <v>0</v>
      </c>
      <c r="F13" s="110">
        <f t="shared" si="0"/>
        <v>0</v>
      </c>
      <c r="G13" s="110">
        <f t="shared" si="0"/>
        <v>0</v>
      </c>
      <c r="H13" s="111">
        <f t="shared" si="0"/>
        <v>0</v>
      </c>
      <c r="I13" s="112">
        <f t="shared" si="0"/>
        <v>14</v>
      </c>
    </row>
    <row r="14" spans="1:9" ht="12.75" customHeight="1">
      <c r="B14" s="113"/>
      <c r="D14" s="114"/>
      <c r="E14" s="115"/>
      <c r="F14" s="115"/>
      <c r="G14" s="115"/>
      <c r="H14" s="115"/>
    </row>
    <row r="15" spans="1:9" ht="12.75" customHeight="1">
      <c r="C15" s="116" t="s">
        <v>111</v>
      </c>
      <c r="E15" s="117">
        <f>IFERROR((D13+E13)*100/(I13-H13-G13),0)</f>
        <v>100</v>
      </c>
      <c r="F15" s="11" t="s">
        <v>112</v>
      </c>
      <c r="H15" s="118"/>
    </row>
    <row r="16" spans="1:9" ht="12.75" customHeight="1">
      <c r="C16" s="116" t="s">
        <v>113</v>
      </c>
      <c r="E16" s="117">
        <f>IFERROR(D13*100/(D13+E13),0)</f>
        <v>100</v>
      </c>
      <c r="F16" s="11" t="s">
        <v>112</v>
      </c>
      <c r="H16" s="118"/>
    </row>
    <row r="17" ht="12.75" customHeight="1"/>
  </sheetData>
  <mergeCells count="9">
    <mergeCell ref="C5:D5"/>
    <mergeCell ref="E5:F5"/>
    <mergeCell ref="G5:H5"/>
    <mergeCell ref="C6:H6"/>
    <mergeCell ref="B1:H1"/>
    <mergeCell ref="C3:D3"/>
    <mergeCell ref="E3:F3"/>
    <mergeCell ref="C4:D4"/>
    <mergeCell ref="E4:F4"/>
  </mergeCells>
  <pageMargins left="0.74791666666666701" right="0.74791666666666701" top="0.98402777777777795" bottom="0.98402777777777795" header="0.511811023622047" footer="0.5"/>
  <pageSetup orientation="landscape" horizontalDpi="300" verticalDpi="300"/>
  <headerFooter>
    <oddFooter>&amp;L&amp;"Tahoma,Regular"&amp;8 02ae-BM/PM/HDCV/FSOFT v2/0&amp;C&amp;"tahoma,Regular"&amp;8 Internal use&amp;R&amp;"Tahoma,Regular"&amp;8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Cover</vt:lpstr>
      <vt:lpstr>TestDesign</vt:lpstr>
      <vt:lpstr>Test case List</vt:lpstr>
      <vt:lpstr>Module1</vt:lpstr>
      <vt:lpstr>Test Report</vt:lpstr>
      <vt:lpstr>TestDesign!Print_Area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/>
  <dc:description>Updates sheet Cover: Add logo, document code, creator, reviewer/approver._x005f_x000d_
Add sheet Test Case List._x005f_x000d_
Change Sheet Company, User, Provider to Modules. Add column Inter-test case dependent. Update these sheets._x005f_x000d_
Update Test Report_x005f_x000d_
</dc:description>
  <cp:lastModifiedBy>Việt Đức Nguyễn</cp:lastModifiedBy>
  <cp:revision>0</cp:revision>
  <cp:lastPrinted>2010-11-12T10:33:20Z</cp:lastPrinted>
  <dcterms:created xsi:type="dcterms:W3CDTF">2014-07-14T08:56:24Z</dcterms:created>
  <dcterms:modified xsi:type="dcterms:W3CDTF">2026-10-02T02:29:40Z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taInfo">
    <vt:lpwstr/>
  </property>
  <property fmtid="{D5CDD505-2E9C-101B-9397-08002B2CF9AE}" pid="3" name="Number Of Viewer">
    <vt:lpwstr>0</vt:lpwstr>
  </property>
  <property fmtid="{D5CDD505-2E9C-101B-9397-08002B2CF9AE}" pid="4" name="Order">
    <vt:lpwstr/>
  </property>
  <property fmtid="{D5CDD505-2E9C-101B-9397-08002B2CF9AE}" pid="5" name="Priority">
    <vt:lpwstr/>
  </property>
  <property fmtid="{D5CDD505-2E9C-101B-9397-08002B2CF9AE}" pid="6" name="TemplateUrl">
    <vt:lpwstr/>
  </property>
  <property fmtid="{D5CDD505-2E9C-101B-9397-08002B2CF9AE}" pid="7" name="_SharedFileIndex">
    <vt:lpwstr/>
  </property>
  <property fmtid="{D5CDD505-2E9C-101B-9397-08002B2CF9AE}" pid="8" name="_SourceUrl">
    <vt:lpwstr/>
  </property>
  <property fmtid="{D5CDD505-2E9C-101B-9397-08002B2CF9AE}" pid="9" name="xd_ProgID">
    <vt:lpwstr/>
  </property>
</Properties>
</file>