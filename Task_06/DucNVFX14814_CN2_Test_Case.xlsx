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unix\4. CC4\5. LAB301x\LAB301x_01\Task_06\"/>
    </mc:Choice>
  </mc:AlternateContent>
  <xr:revisionPtr revIDLastSave="0" documentId="13_ncr:1_{85064739-4709-4AA6-A5C3-0BBC12679E8D}" xr6:coauthVersionLast="47" xr6:coauthVersionMax="47" xr10:uidLastSave="{00000000-0000-0000-0000-000000000000}"/>
  <bookViews>
    <workbookView xWindow="-108" yWindow="-108" windowWidth="23256" windowHeight="12576" tabRatio="500" activeTab="4" xr2:uid="{00000000-000D-0000-FFFF-FFFF00000000}"/>
  </bookViews>
  <sheets>
    <sheet name="Cover" sheetId="1" r:id="rId1"/>
    <sheet name="TestDesign" sheetId="2" r:id="rId2"/>
    <sheet name="Test case List" sheetId="3" r:id="rId3"/>
    <sheet name="Module1" sheetId="4" r:id="rId4"/>
    <sheet name="Test Report" sheetId="5" r:id="rId5"/>
  </sheets>
  <definedNames>
    <definedName name="_xlnm._FilterDatabase" localSheetId="1" hidden="1">TestDesign!$A$1:$F$15</definedName>
    <definedName name="_Toc301930468" localSheetId="1">#REF!</definedName>
    <definedName name="_Toc301930478" localSheetId="1">#REF!</definedName>
    <definedName name="ACTION">#REF!</definedName>
    <definedName name="Excel_BuiltIn__FilterDatabase" localSheetId="3">Module1!$A$8:$H$16</definedName>
    <definedName name="_xlnm.Print_Area" localSheetId="1">TestDesign!$A$1:$F$15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" i="4" l="1"/>
  <c r="A29" i="4"/>
  <c r="C10" i="5"/>
  <c r="C5" i="5"/>
  <c r="A27" i="4"/>
  <c r="A26" i="4"/>
  <c r="A24" i="4"/>
  <c r="A23" i="4"/>
  <c r="A22" i="4"/>
  <c r="A21" i="4"/>
  <c r="A20" i="4"/>
  <c r="A19" i="4"/>
  <c r="A18" i="4"/>
  <c r="A16" i="4"/>
  <c r="A15" i="4"/>
  <c r="A14" i="4"/>
  <c r="A13" i="4"/>
  <c r="A12" i="4"/>
  <c r="A11" i="4"/>
  <c r="A10" i="4"/>
  <c r="E6" i="4"/>
  <c r="H10" i="5" s="1"/>
  <c r="H13" i="5" s="1"/>
  <c r="D6" i="4"/>
  <c r="G10" i="5" s="1"/>
  <c r="G13" i="5" s="1"/>
  <c r="B6" i="4"/>
  <c r="E10" i="5" s="1"/>
  <c r="E13" i="5" s="1"/>
  <c r="A6" i="4"/>
  <c r="D10" i="5" s="1"/>
  <c r="D13" i="5" s="1"/>
  <c r="D4" i="3"/>
  <c r="D3" i="3"/>
  <c r="C6" i="1"/>
  <c r="F6" i="4" l="1"/>
  <c r="E16" i="5"/>
  <c r="I10" i="5" l="1"/>
  <c r="I13" i="5" s="1"/>
  <c r="E15" i="5" s="1"/>
  <c r="C6" i="4"/>
  <c r="F10" i="5" s="1"/>
  <c r="F1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1" authorId="0" shapeId="0" xr:uid="{00000000-0006-0000-0000-000001000000}">
      <text>
        <r>
          <rPr>
            <sz val="10"/>
            <rFont val="Arial"/>
            <family val="2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Tran Thi Lanh:
It does not required to have 3 requirement levels. It depends on your decentralization.</t>
        </r>
      </text>
    </comment>
    <comment ref="D1" authorId="0" shapeId="0" xr:uid="{00000000-0006-0000-0100-000002000000}">
      <text>
        <r>
          <rPr>
            <sz val="10"/>
            <rFont val="Arial"/>
            <family val="2"/>
          </rPr>
          <t>Tran Thi Lanh:
Brief description about the case you'll check</t>
        </r>
      </text>
    </comment>
    <comment ref="E1" authorId="0" shapeId="0" xr:uid="{00000000-0006-0000-0100-000003000000}">
      <text>
        <r>
          <rPr>
            <sz val="10"/>
            <rFont val="Arial"/>
            <family val="2"/>
          </rPr>
          <t>Tran Thi Lanh:
GUI
Function
Non-function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300-000001000000}">
      <text>
        <r>
          <rPr>
            <sz val="10"/>
            <rFont val="Arial"/>
            <family val="2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<sst xmlns="http://schemas.openxmlformats.org/spreadsheetml/2006/main" count="256" uniqueCount="151">
  <si>
    <t>TEST CASE</t>
  </si>
  <si>
    <t>Project Name</t>
  </si>
  <si>
    <t>Dò vé số</t>
  </si>
  <si>
    <t>Creator</t>
  </si>
  <si>
    <t>DucNVFX14814</t>
  </si>
  <si>
    <t>Project Code</t>
  </si>
  <si>
    <t>Lab301x</t>
  </si>
  <si>
    <t>Reviewer/Approver</t>
  </si>
  <si>
    <t>ToanHK(Mentor)</t>
  </si>
  <si>
    <t>Document Code</t>
  </si>
  <si>
    <t>Issue Date</t>
  </si>
  <si>
    <t>01/10/2026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</si>
  <si>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</si>
  <si>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</si>
  <si>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</si>
  <si>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</si>
  <si>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</si>
  <si>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</si>
  <si>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</si>
  <si>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</si>
  <si>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</si>
  <si>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Khởi tạo</t>
  </si>
  <si>
    <t>A</t>
  </si>
  <si>
    <t>DucNVFX14814_SRS, DucNVFX14814_CN2_Screen_Design</t>
  </si>
  <si>
    <t>Requirement Level 1</t>
  </si>
  <si>
    <t>Requirement Level 2</t>
  </si>
  <si>
    <t>Requirement Level 3</t>
  </si>
  <si>
    <t>Test Criteria</t>
  </si>
  <si>
    <t>Test Type</t>
  </si>
  <si>
    <t>Note</t>
  </si>
  <si>
    <t>CN2 - Quản lý vé dò (ADMIN)</t>
  </si>
  <si>
    <t>Tìm kiếm / phân trang vé dò</t>
  </si>
  <si>
    <t>Thành công</t>
  </si>
  <si>
    <t>Xem danh sách vé dò mặc định (lần đầu vào, không truyền tham số)</t>
  </si>
  <si>
    <t>Function</t>
  </si>
  <si>
    <t>Mặc định từ đầu tháng hiện tại đến hôm nay</t>
  </si>
  <si>
    <t>Tìm theo miền + tỉnh hợp lệ</t>
  </si>
  <si>
    <t>Tìm theo khoảng ngày hợp lệ</t>
  </si>
  <si>
    <t>Lọc theo trạng thái (Đã công bố / Chưa công bố)</t>
  </si>
  <si>
    <t>Phân trang khi tổng số vé dò &gt; 10</t>
  </si>
  <si>
    <t>Không thành công</t>
  </si>
  <si>
    <t>Từ ngày lớn hơn đến ngày</t>
  </si>
  <si>
    <t>Không tìm thấy vé dò phù hợp với bộ lọc</t>
  </si>
  <si>
    <t>Thêm vé dò mới</t>
  </si>
  <si>
    <t>Xem trước</t>
  </si>
  <si>
    <t>Xem trước thành công (ngày đã có kết quả từ nguồn, vé chưa tồn tại)</t>
  </si>
  <si>
    <t>Dữ liệu lấy tự động qua API Minh Ngọc</t>
  </si>
  <si>
    <t>Chọn ngày trong tương lai</t>
  </si>
  <si>
    <t>Vé dò đã tồn tại (chưa công bố)</t>
  </si>
  <si>
    <t>không lấy lại từ nguồn</t>
  </si>
  <si>
    <t>Vé dò đã tồn tại (đã công bố)</t>
  </si>
  <si>
    <t>Nguồn dữ liệu chưa có kết quả ngày đã chọn</t>
  </si>
  <si>
    <t>Lưu</t>
  </si>
  <si>
    <t>Lưu vé dò (chưa công bố)</t>
  </si>
  <si>
    <t>Lưu và công bố (Publish) ngay</t>
  </si>
  <si>
    <t>Công bố vé dò (Publish)</t>
  </si>
  <si>
    <t>Công bố 1 vé dò đang "Chưa công bố"</t>
  </si>
  <si>
    <t>Thực hiện từ danh sách và từ trang chi tiết</t>
  </si>
  <si>
    <t>Công bố 1 vé dò đã công bố rồi</t>
  </si>
  <si>
    <t>Không cho chuyển ngược PUBLISH -&gt; UNPUBLISH</t>
  </si>
  <si>
    <t>Chi tiết vé dò</t>
  </si>
  <si>
    <t>Xem đủ 8 giải, đúng thứ tự Đặc biệt -&gt; Giải 7</t>
  </si>
  <si>
    <t>Xem số lần vé dò được người dùng dò</t>
  </si>
  <si>
    <t>0 khi chưa có ai dò</t>
  </si>
  <si>
    <t>TEST CASE LIST</t>
  </si>
  <si>
    <t>Test Environment Setup Description</t>
  </si>
  <si>
    <t>1. Web server: Apache Tomcat 9
2. Database: MySQL 8
3. Web Browser: Chrome/Edge mới nhất
4. Nguồn dữ liệu kết quả xổ số: API Minh Ngọc (cần có kết nối mạng, dữ liệu thật)</t>
  </si>
  <si>
    <t>No</t>
  </si>
  <si>
    <t>Function Name</t>
  </si>
  <si>
    <t>Sheet Name</t>
  </si>
  <si>
    <t>Description</t>
  </si>
  <si>
    <t>Pre-Condition</t>
  </si>
  <si>
    <t>Module1</t>
  </si>
  <si>
    <t>Module Code</t>
  </si>
  <si>
    <t>Passed</t>
  </si>
  <si>
    <t>Test requirement</t>
  </si>
  <si>
    <t>Yêu cầu 1 (ADMIN): Quản lý vé dò - tìm kiếm/phân trang, thêm vé dò mới, công bố (publish), xem chi tiết.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</si>
  <si>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</si>
  <si>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</si>
  <si>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</si>
  <si>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</si>
  <si>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</si>
  <si>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</si>
  <si>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</si>
  <si>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</si>
  <si>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</si>
  <si>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</si>
  <si>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</si>
  <si>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</si>
  <si>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</si>
  <si>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Xem danh sách vé dò mặc định</t>
  </si>
  <si>
    <t>1. Đăng nhập ADMIN.
2. Vào menu Quản lý vé dò (không chọn bộ lọc gì).</t>
  </si>
  <si>
    <t>Hiển thị vé dò từ đầu tháng hiện tại đến hôm nay, miền/tỉnh/trạng thái = tất cả.</t>
  </si>
  <si>
    <t>1. Chọn 1 Miền.
2. Chọn 1 Tỉnh thuộc miền đó.
3. Bấm "Tìm kiếm".</t>
  </si>
  <si>
    <t>Chỉ hiển thị vé dò của tỉnh đã chọn.</t>
  </si>
  <si>
    <t>1. Nhập Từ ngày / Đến ngày hợp lệ (từ ngày ≤ đến ngày).
2. Bấm "Tìm kiếm".</t>
  </si>
  <si>
    <t>Chỉ hiển thị vé dò có ngày mở thưởng trong khoảng đã chọn.</t>
  </si>
  <si>
    <t>Lọc theo trạng thái</t>
  </si>
  <si>
    <t>1. Chọn Trạng thái = "Đã công bố" (hoặc "Chưa công bố").
2. Bấm "Tìm kiếm".</t>
  </si>
  <si>
    <t>Chỉ hiển thị đúng các vé dò ở trạng thái đã chọn.</t>
  </si>
  <si>
    <t>1. Đảm bảo bộ lọc đang chọn trả về &gt; 10 vé dò.
2. Xem danh sách.</t>
  </si>
  <si>
    <t>Danh sách hiển thị tối đa 10 vé/trang, có thanh phân trang để xem các trang tiếp theo.</t>
  </si>
  <si>
    <t>CSDL cần có &gt; 10 vé dò khớp bộ lọc</t>
  </si>
  <si>
    <t>1. Nhập Từ ngày lớn hơn Đến ngày.
2. Bấm "Tìm kiếm".</t>
  </si>
  <si>
    <t>Hiển thị lỗi "Ngày bắt đầu phải nhỏ hơn hoặc bằng ngày kết thúc."</t>
  </si>
  <si>
    <t>Không tìm thấy vé dò phù hợp</t>
  </si>
  <si>
    <t>1. Chọn bộ lọc chắc chắn không có vé dò nào khớp.
2. Bấm "Tìm kiếm".</t>
  </si>
  <si>
    <t>Hiển thị "Không tìm thấy vé dò phù hợp."</t>
  </si>
  <si>
    <t>Xem trước thành công</t>
  </si>
  <si>
    <t>1. Vào Thêm vé dò mới.
2. Chọn miền/tỉnh cụ thể, ngày trong quá khứ đã có kết quả, vé chưa tồn tại.
3. Bấm "Xem trước".</t>
  </si>
  <si>
    <t>Ngày chọn phải thật sự đã có kết quả trên nguồn Minh Ngọc</t>
  </si>
  <si>
    <t>1. Chọn ngày sau ngày hiện tại.
2. Bấm "Xem trước".</t>
  </si>
  <si>
    <t>1. Chọn miền/tỉnh/ngày của 1 vé dò đã lưu trước đó nhưng chưa công bố.
2. Bấm "Xem trước".</t>
  </si>
  <si>
    <t>Cần có sẵn 1 vé dò UNPUBLISH của tỉnh/ngày đó</t>
  </si>
  <si>
    <t>1. Chọn miền/tỉnh/ngày của 1 vé dò đã công bố.
2. Bấm "Xem trước".</t>
  </si>
  <si>
    <t>Cần có sẵn 1 vé dò PUBLISH của tỉnh/ngày đó</t>
  </si>
  <si>
    <t>Nguồn dữ liệu chưa có kết quả</t>
  </si>
  <si>
    <t>1. Chọn ngày mà nguồn Minh Ngọc chưa đăng kết quả (ví dụ ngày quá gần hiện tại, kết quả chưa cập nhật).
2. Bấm "Xem trước".</t>
  </si>
  <si>
    <t>Hiển thị lỗi dạng "Nguồn dữ liệu chưa có kết quả xổ số [miền] ngày [ngày]."</t>
  </si>
  <si>
    <t>Phụ thuộc thời điểm cập nhật thực tế của nguồn, có thể cần thử vài ngày để tái hiện</t>
  </si>
  <si>
    <t>Lưu vé dò với trạng thái "Chưa công bố"; hiển thị thông báo "Đã lưu ... vé dò ngày ... (chưa công bố)."</t>
  </si>
  <si>
    <t>1. Xem trước thành công.
2. Bấm "Lưu và Publish", xác nhận.</t>
  </si>
  <si>
    <t>Lưu vé dò với trạng thái "Đã công bố" ngay; hiển thị thông báo "Đã lưu và công bố ... vé dò ngày ..."</t>
  </si>
  <si>
    <t>1. Ở Danh sách vé dò (hoặc trang Chi tiết), bấm "Publish" của 1 vé dò chưa công bố.
2. Xác nhận.</t>
  </si>
  <si>
    <t>1. Gửi lại yêu cầu công bố cho 1 vé dò đã ở trạng thái "Đã công bố" (ví dụ bấm lại nút Publish ở tab cũ).</t>
  </si>
  <si>
    <t>Hiển thị lỗi "Vé dò ngày ... đã được công bố, không thể thay đổi trạng thái."; vé dò không bị chuyển ngược lại Chưa công bố.</t>
  </si>
  <si>
    <t>Xem đủ 8 giải đúng thứ tự</t>
  </si>
  <si>
    <t>1. Vào trang Chi tiết của 1 vé dò đã có kết quả.</t>
  </si>
  <si>
    <t>Xem số lần vé dò được dò</t>
  </si>
  <si>
    <t>1. Vào trang Chi tiết của 1 vé dò chưa từng được ai dò.</t>
  </si>
  <si>
    <t>Hiển thị "Số lần vé dò được người dùng dò" = 0.</t>
  </si>
  <si>
    <t>Cần 1 vé dò PUBLISH chưa có lịch sử dò (CN3)</t>
  </si>
  <si>
    <t>TEST REPORT</t>
  </si>
  <si>
    <t>Notes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</si>
  <si>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</si>
  <si>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</si>
  <si>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</si>
  <si>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</si>
  <si>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</si>
  <si>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</si>
  <si>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</si>
  <si>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</si>
  <si>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Tạo mới Test Case cho CN2 - Quản lý vé dò (ADMIN)</t>
  </si>
  <si>
    <t>Hiển thị bảng kết quả xổ số của tỉnh, trạng thái "Sẵn sàng lưu"; nút Lưu/Lưu và Publish được bật.</t>
  </si>
  <si>
    <t>Hiển thị lỗi "Giá trị phải là ngày hiện tại hoặc sớm hơn."</t>
  </si>
  <si>
    <t>Không lấy lại dữ liệu từ nguồn; hiển thị trạng thái "Đã có - chưa công bố" với dữ liệu đã lưu trong hệ thống.</t>
  </si>
  <si>
    <t>Hiển thị trạng thái "Đã có - đã công bố".</t>
  </si>
  <si>
    <t>1. Xem trước thành công (trạng thái "Sẵn sàng lưu").
2. Bấm "Lưu".</t>
  </si>
  <si>
    <t>Hiển thị đủ 8 giải: Đặc biệt, Giải 1 -&gt; Giải 7, đúng thứ tự; trạng thái trạng thái đúng với dữ liệu.</t>
  </si>
  <si>
    <t>Vé dò chuyển trạng thái "Chưa công bố" -&gt; "Đã công bố"</t>
  </si>
  <si>
    <t>Release 1 gồm 1 module: Module1 (ADMIN - Quản lý vé dò).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</si>
</sst>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[$-409]d\-mmm\-yy"/>
  </numFmts>
  <fonts count="29">
    <font>
      <sz val="11"/>
      <name val="ＭＳ Ｐゴシック"/>
      <charset val="128"/>
    </font>
    <font>
      <sz val="11"/>
      <color rgb="FF000000"/>
      <name val="Calibri"/>
      <family val="2"/>
      <charset val="163"/>
    </font>
    <font>
      <sz val="11"/>
      <color rgb="FF000000"/>
      <name val="Calibri"/>
      <family val="3"/>
      <charset val="128"/>
    </font>
    <font>
      <sz val="9"/>
      <name val="ＭＳ ゴシック"/>
      <family val="3"/>
      <charset val="128"/>
    </font>
    <font>
      <sz val="10"/>
      <name val="Times New Roman"/>
      <family val="1"/>
      <charset val="1"/>
    </font>
    <font>
      <sz val="11"/>
      <name val="Times New Roman"/>
      <family val="1"/>
      <charset val="1"/>
    </font>
    <font>
      <b/>
      <sz val="22"/>
      <color rgb="FFFF0000"/>
      <name val="Times New Roman"/>
      <family val="1"/>
      <charset val="1"/>
    </font>
    <font>
      <b/>
      <sz val="20"/>
      <color rgb="FF000000"/>
      <name val="Times New Roman"/>
      <family val="1"/>
      <charset val="1"/>
    </font>
    <font>
      <b/>
      <sz val="10"/>
      <color rgb="FF993300"/>
      <name val="Times New Roman"/>
      <family val="1"/>
      <charset val="1"/>
    </font>
    <font>
      <i/>
      <sz val="10"/>
      <color rgb="FF008000"/>
      <name val="Times New Roman"/>
      <family val="1"/>
      <charset val="1"/>
    </font>
    <font>
      <b/>
      <sz val="10"/>
      <color rgb="FFFFFFFF"/>
      <name val="Times New Roman"/>
      <family val="1"/>
      <charset val="1"/>
    </font>
    <font>
      <sz val="10"/>
      <name val="Arial"/>
      <family val="2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0"/>
      <name val="Tahoma"/>
      <family val="2"/>
      <charset val="1"/>
    </font>
    <font>
      <b/>
      <sz val="20"/>
      <color rgb="FF000000"/>
      <name val="Tahoma"/>
      <family val="2"/>
      <charset val="1"/>
    </font>
    <font>
      <b/>
      <sz val="10"/>
      <color rgb="FF000000"/>
      <name val="Tahoma"/>
      <family val="2"/>
      <charset val="1"/>
    </font>
    <font>
      <b/>
      <sz val="10"/>
      <color rgb="FFFF0000"/>
      <name val="Tahoma"/>
      <family val="2"/>
      <charset val="1"/>
    </font>
    <font>
      <b/>
      <sz val="10"/>
      <color rgb="FF993300"/>
      <name val="Tahoma"/>
      <family val="2"/>
      <charset val="1"/>
    </font>
    <font>
      <i/>
      <sz val="10"/>
      <color rgb="FF008000"/>
      <name val="Tahoma"/>
      <family val="2"/>
      <charset val="1"/>
    </font>
    <font>
      <b/>
      <sz val="10"/>
      <name val="Tahoma"/>
      <family val="2"/>
      <charset val="1"/>
    </font>
    <font>
      <u/>
      <sz val="10"/>
      <color rgb="FF0000FF"/>
      <name val="Times New Roman"/>
      <family val="1"/>
      <charset val="1"/>
    </font>
    <font>
      <sz val="10"/>
      <color rgb="FFFF0000"/>
      <name val="Tahoma"/>
      <family val="2"/>
      <charset val="1"/>
    </font>
    <font>
      <sz val="10"/>
      <color rgb="FF000000"/>
      <name val="Tahoma"/>
      <family val="2"/>
      <charset val="1"/>
    </font>
    <font>
      <b/>
      <sz val="10"/>
      <name val="Times New Roman"/>
      <family val="1"/>
      <charset val="1"/>
    </font>
    <font>
      <sz val="10"/>
      <color rgb="FFFFFFFF"/>
      <name val="Times New Roman"/>
      <family val="1"/>
      <charset val="1"/>
    </font>
    <font>
      <b/>
      <sz val="10"/>
      <color rgb="FF0000FF"/>
      <name val="Times New Roman"/>
      <family val="1"/>
      <charset val="1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35">
    <xf numFmtId="0" fontId="0" fillId="0" borderId="0" xfId="0"/>
    <xf numFmtId="0" fontId="7" fillId="2" borderId="0" xfId="0" applyFont="1" applyFill="1" applyAlignment="1">
      <alignment horizontal="center"/>
    </xf>
    <xf numFmtId="0" fontId="23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vertical="top" wrapText="1"/>
    </xf>
    <xf numFmtId="1" fontId="18" fillId="2" borderId="1" xfId="0" applyNumberFormat="1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left"/>
    </xf>
    <xf numFmtId="1" fontId="18" fillId="2" borderId="12" xfId="0" applyNumberFormat="1" applyFont="1" applyFill="1" applyBorder="1"/>
    <xf numFmtId="0" fontId="9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indent="1"/>
    </xf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indent="1"/>
    </xf>
    <xf numFmtId="0" fontId="9" fillId="0" borderId="0" xfId="0" applyFont="1" applyAlignment="1">
      <alignment horizontal="left" indent="1"/>
    </xf>
    <xf numFmtId="0" fontId="4" fillId="2" borderId="0" xfId="0" applyFont="1" applyFill="1"/>
    <xf numFmtId="0" fontId="8" fillId="2" borderId="1" xfId="0" applyFont="1" applyFill="1" applyBorder="1" applyAlignment="1">
      <alignment horizontal="left"/>
    </xf>
    <xf numFmtId="0" fontId="4" fillId="0" borderId="2" xfId="0" applyFont="1" applyBorder="1"/>
    <xf numFmtId="0" fontId="8" fillId="2" borderId="1" xfId="0" applyFont="1" applyFill="1" applyBorder="1" applyAlignment="1">
      <alignment horizontal="left" vertical="center"/>
    </xf>
    <xf numFmtId="0" fontId="8" fillId="2" borderId="0" xfId="0" applyFont="1" applyFill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164" fontId="10" fillId="3" borderId="3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49" fontId="4" fillId="0" borderId="6" xfId="0" applyNumberFormat="1" applyFont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0" fontId="4" fillId="0" borderId="7" xfId="0" applyFont="1" applyBorder="1" applyAlignment="1">
      <alignment vertical="top"/>
    </xf>
    <xf numFmtId="165" fontId="4" fillId="0" borderId="7" xfId="0" applyNumberFormat="1" applyFont="1" applyBorder="1" applyAlignment="1">
      <alignment vertical="top" wrapText="1"/>
    </xf>
    <xf numFmtId="49" fontId="4" fillId="0" borderId="8" xfId="0" applyNumberFormat="1" applyFont="1" applyBorder="1" applyAlignment="1">
      <alignment vertical="top" wrapText="1"/>
    </xf>
    <xf numFmtId="164" fontId="4" fillId="0" borderId="6" xfId="0" applyNumberFormat="1" applyFont="1" applyBorder="1" applyAlignment="1">
      <alignment vertical="top"/>
    </xf>
    <xf numFmtId="0" fontId="4" fillId="0" borderId="8" xfId="0" applyFont="1" applyBorder="1" applyAlignment="1">
      <alignment vertical="top"/>
    </xf>
    <xf numFmtId="164" fontId="4" fillId="0" borderId="9" xfId="0" applyNumberFormat="1" applyFont="1" applyBorder="1" applyAlignment="1">
      <alignment vertical="top"/>
    </xf>
    <xf numFmtId="49" fontId="4" fillId="0" borderId="10" xfId="0" applyNumberFormat="1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4" fillId="2" borderId="0" xfId="0" applyFont="1" applyFill="1"/>
    <xf numFmtId="1" fontId="14" fillId="2" borderId="0" xfId="0" applyNumberFormat="1" applyFont="1" applyFill="1"/>
    <xf numFmtId="0" fontId="14" fillId="2" borderId="0" xfId="0" applyFont="1" applyFill="1" applyAlignment="1">
      <alignment horizontal="left"/>
    </xf>
    <xf numFmtId="1" fontId="14" fillId="2" borderId="0" xfId="0" applyNumberFormat="1" applyFont="1" applyFill="1" applyProtection="1">
      <protection hidden="1"/>
    </xf>
    <xf numFmtId="0" fontId="15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0" fontId="17" fillId="2" borderId="0" xfId="0" applyFont="1" applyFill="1" applyAlignment="1">
      <alignment horizontal="left"/>
    </xf>
    <xf numFmtId="0" fontId="14" fillId="2" borderId="0" xfId="0" applyFont="1" applyFill="1" applyAlignment="1">
      <alignment wrapText="1"/>
    </xf>
    <xf numFmtId="1" fontId="18" fillId="2" borderId="0" xfId="0" applyNumberFormat="1" applyFont="1" applyFill="1"/>
    <xf numFmtId="0" fontId="14" fillId="2" borderId="0" xfId="0" applyFont="1" applyFill="1" applyAlignment="1">
      <alignment vertical="center"/>
    </xf>
    <xf numFmtId="1" fontId="14" fillId="2" borderId="0" xfId="0" applyNumberFormat="1" applyFont="1" applyFill="1" applyAlignment="1" applyProtection="1">
      <alignment vertical="center"/>
      <protection hidden="1"/>
    </xf>
    <xf numFmtId="0" fontId="14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/>
    </xf>
    <xf numFmtId="1" fontId="10" fillId="4" borderId="3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vertical="center"/>
    </xf>
    <xf numFmtId="49" fontId="4" fillId="2" borderId="7" xfId="0" applyNumberFormat="1" applyFont="1" applyFill="1" applyBorder="1" applyAlignment="1">
      <alignment horizontal="left" vertical="center"/>
    </xf>
    <xf numFmtId="0" fontId="21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1" fontId="14" fillId="2" borderId="6" xfId="0" applyNumberFormat="1" applyFont="1" applyFill="1" applyBorder="1" applyAlignment="1">
      <alignment vertical="center"/>
    </xf>
    <xf numFmtId="49" fontId="14" fillId="2" borderId="7" xfId="0" applyNumberFormat="1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" fontId="14" fillId="2" borderId="9" xfId="0" applyNumberFormat="1" applyFont="1" applyFill="1" applyBorder="1" applyAlignment="1">
      <alignment vertical="center"/>
    </xf>
    <xf numFmtId="49" fontId="14" fillId="2" borderId="10" xfId="0" applyNumberFormat="1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/>
    </xf>
    <xf numFmtId="0" fontId="2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3" fillId="2" borderId="14" xfId="0" applyFont="1" applyFill="1" applyBorder="1" applyAlignment="1">
      <alignment wrapText="1"/>
    </xf>
    <xf numFmtId="0" fontId="14" fillId="2" borderId="14" xfId="0" applyFont="1" applyFill="1" applyBorder="1" applyAlignment="1">
      <alignment wrapText="1"/>
    </xf>
    <xf numFmtId="0" fontId="20" fillId="2" borderId="0" xfId="0" applyFont="1" applyFill="1" applyAlignment="1">
      <alignment wrapText="1"/>
    </xf>
    <xf numFmtId="0" fontId="23" fillId="2" borderId="0" xfId="0" applyFont="1" applyFill="1" applyAlignment="1">
      <alignment wrapText="1"/>
    </xf>
    <xf numFmtId="0" fontId="20" fillId="2" borderId="15" xfId="0" applyFont="1" applyFill="1" applyBorder="1" applyAlignment="1">
      <alignment horizontal="left" wrapText="1"/>
    </xf>
    <xf numFmtId="0" fontId="20" fillId="2" borderId="16" xfId="0" applyFont="1" applyFill="1" applyBorder="1" applyAlignment="1">
      <alignment horizontal="left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22" fillId="2" borderId="0" xfId="0" applyFont="1" applyFill="1" applyAlignment="1">
      <alignment horizont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vertical="center" wrapText="1"/>
    </xf>
    <xf numFmtId="0" fontId="2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 vertical="center" wrapText="1"/>
    </xf>
    <xf numFmtId="0" fontId="12" fillId="5" borderId="1" xfId="0" applyFont="1" applyFill="1" applyBorder="1" applyAlignment="1">
      <alignment wrapText="1"/>
    </xf>
    <xf numFmtId="0" fontId="12" fillId="2" borderId="1" xfId="0" applyFont="1" applyFill="1" applyBorder="1" applyAlignment="1">
      <alignment vertical="top" wrapText="1"/>
    </xf>
    <xf numFmtId="0" fontId="23" fillId="2" borderId="0" xfId="0" applyFont="1" applyFill="1" applyAlignment="1">
      <alignment vertical="top" wrapText="1"/>
    </xf>
    <xf numFmtId="0" fontId="24" fillId="2" borderId="0" xfId="0" applyFont="1" applyFill="1"/>
    <xf numFmtId="164" fontId="4" fillId="2" borderId="0" xfId="0" applyNumberFormat="1" applyFont="1" applyFill="1"/>
    <xf numFmtId="0" fontId="8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vertical="top"/>
    </xf>
    <xf numFmtId="0" fontId="8" fillId="2" borderId="1" xfId="0" applyFont="1" applyFill="1" applyBorder="1" applyAlignment="1">
      <alignment vertical="center"/>
    </xf>
    <xf numFmtId="0" fontId="9" fillId="2" borderId="0" xfId="0" applyFont="1" applyFill="1"/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wrapText="1"/>
    </xf>
    <xf numFmtId="0" fontId="10" fillId="3" borderId="13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 wrapText="1"/>
    </xf>
    <xf numFmtId="0" fontId="10" fillId="3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6" xfId="0" applyFont="1" applyFill="1" applyBorder="1"/>
    <xf numFmtId="0" fontId="25" fillId="3" borderId="9" xfId="0" applyFont="1" applyFill="1" applyBorder="1" applyAlignment="1">
      <alignment horizontal="center"/>
    </xf>
    <xf numFmtId="0" fontId="10" fillId="3" borderId="10" xfId="0" applyFont="1" applyFill="1" applyBorder="1"/>
    <xf numFmtId="0" fontId="25" fillId="3" borderId="10" xfId="0" applyFont="1" applyFill="1" applyBorder="1" applyAlignment="1">
      <alignment horizontal="center"/>
    </xf>
    <xf numFmtId="0" fontId="25" fillId="3" borderId="19" xfId="0" applyFont="1" applyFill="1" applyBorder="1" applyAlignment="1">
      <alignment horizontal="center"/>
    </xf>
    <xf numFmtId="0" fontId="25" fillId="3" borderId="1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0" fontId="4" fillId="2" borderId="0" xfId="0" applyNumberFormat="1" applyFont="1" applyFill="1" applyAlignment="1">
      <alignment horizontal="center"/>
    </xf>
    <xf numFmtId="9" fontId="4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left"/>
    </xf>
    <xf numFmtId="2" fontId="26" fillId="2" borderId="0" xfId="0" applyNumberFormat="1" applyFont="1" applyFill="1" applyAlignment="1">
      <alignment horizontal="right" wrapText="1"/>
    </xf>
    <xf numFmtId="0" fontId="12" fillId="2" borderId="0" xfId="0" applyFont="1" applyFill="1" applyAlignment="1">
      <alignment horizontal="center" wrapText="1"/>
    </xf>
    <xf numFmtId="0" fontId="9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vertical="top"/>
    </xf>
    <xf numFmtId="0" fontId="27" fillId="2" borderId="20" xfId="0" quotePrefix="1" applyFont="1" applyFill="1" applyBorder="1" applyAlignment="1">
      <alignment vertical="top" wrapText="1"/>
    </xf>
    <xf numFmtId="0" fontId="28" fillId="2" borderId="20" xfId="0" applyFont="1" applyFill="1" applyBorder="1" applyAlignment="1">
      <alignment vertical="top" wrapText="1"/>
    </xf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標準_結合試験(AllOvertheWorld)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W18"/>
  <sheetViews>
    <sheetView zoomScaleNormal="100" workbookViewId="0">
      <selection activeCell="J14" sqref="J14"/>
    </sheetView>
  </sheetViews>
  <sheetFormatPr defaultColWidth="9" defaultRowHeight="13.8"/>
  <cols>
    <col min="1" max="1" width="2.109375" style="13" customWidth="1"/>
    <col min="2" max="2" width="19.6640625" style="14" customWidth="1"/>
    <col min="3" max="3" width="9.109375" style="13" customWidth="1"/>
    <col min="4" max="4" width="14.44140625" style="13" customWidth="1"/>
    <col min="5" max="5" width="8" style="13" customWidth="1"/>
    <col min="6" max="6" width="31.109375" style="13" customWidth="1"/>
    <col min="7" max="7" width="31" style="13" customWidth="1"/>
    <col min="8" max="257" width="9" style="13"/>
    <col min="258" max="16384" width="9" style="15"/>
  </cols>
  <sheetData>
    <row r="2" spans="1:7" s="17" customFormat="1" ht="75.75" customHeight="1">
      <c r="A2" s="16"/>
      <c r="B2" s="12" t="s">
        <v>0</v>
      </c>
      <c r="C2" s="12"/>
      <c r="D2" s="12"/>
      <c r="E2" s="12"/>
      <c r="F2" s="12"/>
      <c r="G2" s="12"/>
    </row>
    <row r="3" spans="1:7" ht="12.75" customHeight="1">
      <c r="B3" s="18"/>
      <c r="C3" s="19"/>
      <c r="F3" s="20"/>
    </row>
    <row r="4" spans="1:7" ht="14.25" customHeight="1">
      <c r="B4" s="21" t="s">
        <v>1</v>
      </c>
      <c r="C4" s="11" t="s">
        <v>2</v>
      </c>
      <c r="D4" s="11"/>
      <c r="E4" s="11"/>
      <c r="F4" s="21" t="s">
        <v>3</v>
      </c>
      <c r="G4" s="22" t="s">
        <v>4</v>
      </c>
    </row>
    <row r="5" spans="1:7" ht="14.25" customHeight="1">
      <c r="B5" s="21" t="s">
        <v>5</v>
      </c>
      <c r="C5" s="11" t="s">
        <v>6</v>
      </c>
      <c r="D5" s="11"/>
      <c r="E5" s="11"/>
      <c r="F5" s="21" t="s">
        <v>7</v>
      </c>
      <c r="G5" s="22" t="s">
        <v>8</v>
      </c>
    </row>
    <row r="6" spans="1:7" ht="15.75" customHeight="1">
      <c r="B6" s="10" t="s">
        <v>9</v>
      </c>
      <c r="C6" s="9" t="str">
        <f>C5&amp;"_"&amp;"CN2_TestCase"&amp;"_"&amp;"v1.0"</f>
        <v>Lab301x_CN2_TestCase_v1.0</v>
      </c>
      <c r="D6" s="9"/>
      <c r="E6" s="9"/>
      <c r="F6" s="21" t="s">
        <v>10</v>
      </c>
      <c r="G6" s="22" t="s">
        <v>11</v>
      </c>
    </row>
    <row r="7" spans="1:7" ht="13.5" customHeight="1">
      <c r="B7" s="10"/>
      <c r="C7" s="9"/>
      <c r="D7" s="9"/>
      <c r="E7" s="9"/>
      <c r="F7" s="21" t="s">
        <v>12</v>
      </c>
      <c r="G7" s="22" t="s">
        <v>13</v>
      </c>
    </row>
    <row r="8" spans="1:7" ht="12.75" customHeight="1">
      <c r="B8" s="24"/>
      <c r="C8" s="25"/>
      <c r="F8" s="18"/>
      <c r="G8" s="19"/>
    </row>
    <row r="9" spans="1:7" ht="12.75" customHeight="1">
      <c r="B9" s="13"/>
    </row>
    <row r="10" spans="1:7" ht="12.75" customHeight="1">
      <c r="B10" s="26" t="s">
        <v>14</v>
      </c>
    </row>
    <row r="11" spans="1:7" s="27" customFormat="1" ht="12.75" customHeight="1">
      <c r="B11" s="28" t="s">
        <v>15</v>
      </c>
      <c r="C11" s="29" t="s">
        <v>12</v>
      </c>
      <c r="D11" s="29" t="s">
        <v>16</v>
      </c>
      <c r="E11" s="29" t="s">
        <v>17</v>
      </c>
      <c r="F11" s="29" t="s">
        <v>18</v>
      </c>
      <c r="G11" s="30" t="s">
        <v>19</v>
      </c>
    </row>
    <row r="12" spans="1:7" s="31" customFormat="1" ht="39" customHeight="1">
      <c r="B12" s="32" t="s">
        <v>11</v>
      </c>
      <c r="C12" s="33" t="s">
        <v>20</v>
      </c>
      <c r="D12" s="34" t="s">
        <v>21</v>
      </c>
      <c r="E12" s="34" t="s">
        <v>22</v>
      </c>
      <c r="F12" s="35" t="s">
        <v>142</v>
      </c>
      <c r="G12" s="36" t="s">
        <v>23</v>
      </c>
    </row>
    <row r="13" spans="1:7" s="31" customFormat="1" ht="21.75" customHeight="1">
      <c r="B13" s="37"/>
      <c r="C13" s="33"/>
      <c r="D13" s="34"/>
      <c r="E13" s="34"/>
      <c r="F13" s="34"/>
      <c r="G13" s="38"/>
    </row>
    <row r="14" spans="1:7" s="31" customFormat="1" ht="19.5" customHeight="1">
      <c r="B14" s="37"/>
      <c r="C14" s="33"/>
      <c r="D14" s="34"/>
      <c r="E14" s="34"/>
      <c r="F14" s="34"/>
      <c r="G14" s="38"/>
    </row>
    <row r="15" spans="1:7" s="31" customFormat="1" ht="21.75" customHeight="1">
      <c r="B15" s="37"/>
      <c r="C15" s="33"/>
      <c r="D15" s="34"/>
      <c r="E15" s="34"/>
      <c r="F15" s="34"/>
      <c r="G15" s="38"/>
    </row>
    <row r="16" spans="1:7" s="31" customFormat="1" ht="19.5" customHeight="1">
      <c r="B16" s="37"/>
      <c r="C16" s="33"/>
      <c r="D16" s="34"/>
      <c r="E16" s="34"/>
      <c r="F16" s="34"/>
      <c r="G16" s="38"/>
    </row>
    <row r="17" spans="2:7" s="31" customFormat="1" ht="21.75" customHeight="1">
      <c r="B17" s="37"/>
      <c r="C17" s="33"/>
      <c r="D17" s="34"/>
      <c r="E17" s="34"/>
      <c r="F17" s="34"/>
      <c r="G17" s="38"/>
    </row>
    <row r="18" spans="2:7" s="31" customFormat="1" ht="19.5" customHeight="1">
      <c r="B18" s="39"/>
      <c r="C18" s="40"/>
      <c r="D18" s="41"/>
      <c r="E18" s="41"/>
      <c r="F18" s="41"/>
      <c r="G18" s="42"/>
    </row>
  </sheetData>
  <mergeCells count="5">
    <mergeCell ref="B2:G2"/>
    <mergeCell ref="C4:E4"/>
    <mergeCell ref="C5:E5"/>
    <mergeCell ref="B6:B7"/>
    <mergeCell ref="C6:E7"/>
  </mergeCells>
  <pageMargins left="0.47013888888888899" right="0.47013888888888899" top="0.5" bottom="0.35138888888888897" header="0.511811023622047" footer="0.17013888888888901"/>
  <pageSetup paperSize="9" orientation="landscape" horizontalDpi="300" verticalDpi="300"/>
  <headerFooter>
    <oddFooter>&amp;L&amp;"Tahoma,Regular"&amp;8 02ae-BM/PM/HDCV/FSOFT v2/0&amp;C&amp;"Tahoma,Regular"&amp;8 Internal use&amp;R&amp;"tahomaTahoma,Regular"&amp;8 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19"/>
  <sheetViews>
    <sheetView zoomScaleNormal="100" workbookViewId="0">
      <selection activeCell="A18" sqref="A18:XFD18"/>
    </sheetView>
  </sheetViews>
  <sheetFormatPr defaultColWidth="7.77734375" defaultRowHeight="13.8"/>
  <cols>
    <col min="1" max="1" width="22.88671875" style="43" customWidth="1"/>
    <col min="2" max="2" width="27.77734375" style="43" customWidth="1"/>
    <col min="3" max="3" width="22.33203125" style="43" customWidth="1"/>
    <col min="4" max="4" width="61.88671875" style="44" customWidth="1"/>
    <col min="5" max="5" width="14.5546875" style="43" customWidth="1"/>
    <col min="6" max="6" width="44.33203125" style="44" customWidth="1"/>
    <col min="7" max="257" width="7.77734375" style="45"/>
    <col min="258" max="16384" width="7.77734375" style="15"/>
  </cols>
  <sheetData>
    <row r="1" spans="1:6" s="47" customFormat="1" ht="12.75" customHeight="1">
      <c r="A1" s="46" t="s">
        <v>24</v>
      </c>
      <c r="B1" s="46" t="s">
        <v>25</v>
      </c>
      <c r="C1" s="46" t="s">
        <v>26</v>
      </c>
      <c r="D1" s="46" t="s">
        <v>27</v>
      </c>
      <c r="E1" s="46" t="s">
        <v>28</v>
      </c>
      <c r="F1" s="46" t="s">
        <v>29</v>
      </c>
    </row>
    <row r="2" spans="1:6" ht="26.4">
      <c r="A2" s="48" t="s">
        <v>30</v>
      </c>
      <c r="B2" s="48" t="s">
        <v>31</v>
      </c>
      <c r="C2" s="48" t="s">
        <v>32</v>
      </c>
      <c r="D2" s="49" t="s">
        <v>33</v>
      </c>
      <c r="E2" s="48" t="s">
        <v>34</v>
      </c>
      <c r="F2" s="49" t="s">
        <v>35</v>
      </c>
    </row>
    <row r="3" spans="1:6">
      <c r="A3" s="48"/>
      <c r="B3" s="48"/>
      <c r="C3" s="48"/>
      <c r="D3" s="49" t="s">
        <v>36</v>
      </c>
      <c r="E3" s="48" t="s">
        <v>34</v>
      </c>
      <c r="F3" s="49"/>
    </row>
    <row r="4" spans="1:6">
      <c r="A4" s="48"/>
      <c r="B4" s="48"/>
      <c r="C4" s="48"/>
      <c r="D4" s="49" t="s">
        <v>37</v>
      </c>
      <c r="E4" s="48" t="s">
        <v>34</v>
      </c>
      <c r="F4" s="49"/>
    </row>
    <row r="5" spans="1:6">
      <c r="A5" s="48"/>
      <c r="B5" s="48"/>
      <c r="C5" s="48"/>
      <c r="D5" s="49" t="s">
        <v>38</v>
      </c>
      <c r="E5" s="48" t="s">
        <v>34</v>
      </c>
      <c r="F5" s="49"/>
    </row>
    <row r="6" spans="1:6">
      <c r="A6" s="48"/>
      <c r="B6" s="48"/>
      <c r="C6" s="48"/>
      <c r="D6" s="49" t="s">
        <v>39</v>
      </c>
      <c r="E6" s="48" t="s">
        <v>34</v>
      </c>
      <c r="F6" s="49"/>
    </row>
    <row r="7" spans="1:6">
      <c r="A7" s="48"/>
      <c r="B7" s="48"/>
      <c r="C7" s="48" t="s">
        <v>40</v>
      </c>
      <c r="D7" s="49" t="s">
        <v>41</v>
      </c>
      <c r="E7" s="48" t="s">
        <v>34</v>
      </c>
      <c r="F7" s="49"/>
    </row>
    <row r="8" spans="1:6">
      <c r="A8" s="48"/>
      <c r="B8" s="48"/>
      <c r="C8" s="48"/>
      <c r="D8" s="49" t="s">
        <v>42</v>
      </c>
      <c r="E8" s="48" t="s">
        <v>34</v>
      </c>
      <c r="F8" s="49"/>
    </row>
    <row r="9" spans="1:6">
      <c r="A9" s="48"/>
      <c r="B9" s="48" t="s">
        <v>43</v>
      </c>
      <c r="C9" s="48" t="s">
        <v>44</v>
      </c>
      <c r="D9" s="49" t="s">
        <v>45</v>
      </c>
      <c r="E9" s="48" t="s">
        <v>34</v>
      </c>
      <c r="F9" s="49" t="s">
        <v>46</v>
      </c>
    </row>
    <row r="10" spans="1:6">
      <c r="A10" s="48"/>
      <c r="B10" s="48"/>
      <c r="C10" s="48"/>
      <c r="D10" s="49" t="s">
        <v>47</v>
      </c>
      <c r="E10" s="48" t="s">
        <v>34</v>
      </c>
      <c r="F10" s="49"/>
    </row>
    <row r="11" spans="1:6">
      <c r="A11" s="48"/>
      <c r="B11" s="48"/>
      <c r="C11" s="48"/>
      <c r="D11" s="49" t="s">
        <v>48</v>
      </c>
      <c r="E11" s="48" t="s">
        <v>34</v>
      </c>
      <c r="F11" s="49" t="s">
        <v>49</v>
      </c>
    </row>
    <row r="12" spans="1:6">
      <c r="A12" s="48"/>
      <c r="B12" s="48"/>
      <c r="C12" s="48"/>
      <c r="D12" s="49" t="s">
        <v>50</v>
      </c>
      <c r="E12" s="48" t="s">
        <v>34</v>
      </c>
      <c r="F12" s="49"/>
    </row>
    <row r="13" spans="1:6">
      <c r="A13" s="48"/>
      <c r="B13" s="48"/>
      <c r="C13" s="48"/>
      <c r="D13" s="49" t="s">
        <v>51</v>
      </c>
      <c r="E13" s="48" t="s">
        <v>34</v>
      </c>
      <c r="F13" s="49"/>
    </row>
    <row r="14" spans="1:6">
      <c r="A14" s="48"/>
      <c r="B14" s="48"/>
      <c r="C14" s="48" t="s">
        <v>52</v>
      </c>
      <c r="D14" s="49" t="s">
        <v>53</v>
      </c>
      <c r="E14" s="48" t="s">
        <v>34</v>
      </c>
      <c r="F14" s="49"/>
    </row>
    <row r="15" spans="1:6">
      <c r="A15" s="48"/>
      <c r="B15" s="48"/>
      <c r="C15" s="48"/>
      <c r="D15" s="49" t="s">
        <v>54</v>
      </c>
      <c r="E15" s="48" t="s">
        <v>34</v>
      </c>
      <c r="F15" s="49"/>
    </row>
    <row r="16" spans="1:6">
      <c r="A16" s="48"/>
      <c r="B16" s="48" t="s">
        <v>55</v>
      </c>
      <c r="C16" s="48" t="s">
        <v>32</v>
      </c>
      <c r="D16" s="49" t="s">
        <v>56</v>
      </c>
      <c r="E16" s="48" t="s">
        <v>34</v>
      </c>
      <c r="F16" s="49" t="s">
        <v>57</v>
      </c>
    </row>
    <row r="17" spans="1:6">
      <c r="A17" s="48"/>
      <c r="B17" s="48"/>
      <c r="C17" s="48" t="s">
        <v>40</v>
      </c>
      <c r="D17" s="49" t="s">
        <v>58</v>
      </c>
      <c r="E17" s="48" t="s">
        <v>34</v>
      </c>
      <c r="F17" s="49" t="s">
        <v>59</v>
      </c>
    </row>
    <row r="18" spans="1:6">
      <c r="A18" s="48"/>
      <c r="B18" s="48" t="s">
        <v>60</v>
      </c>
      <c r="C18" s="48" t="s">
        <v>32</v>
      </c>
      <c r="D18" s="49" t="s">
        <v>61</v>
      </c>
      <c r="E18" s="48" t="s">
        <v>34</v>
      </c>
      <c r="F18" s="49"/>
    </row>
    <row r="19" spans="1:6">
      <c r="A19" s="48"/>
      <c r="B19" s="48"/>
      <c r="C19" s="48"/>
      <c r="D19" s="49" t="s">
        <v>62</v>
      </c>
      <c r="E19" s="48" t="s">
        <v>34</v>
      </c>
      <c r="F19" s="49" t="s">
        <v>63</v>
      </c>
    </row>
  </sheetData>
  <autoFilter ref="A1:F15" xr:uid="{00000000-0009-0000-0000-000001000000}"/>
  <pageMargins left="0.39374999999999999" right="0.39374999999999999" top="0.39374999999999999" bottom="0.39374999999999999" header="0.511811023622047" footer="0.511811023622047"/>
  <pageSetup paperSize="9" scale="93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21"/>
  <sheetViews>
    <sheetView zoomScaleNormal="100" workbookViewId="0">
      <selection activeCell="E18" sqref="E18"/>
    </sheetView>
  </sheetViews>
  <sheetFormatPr defaultColWidth="9" defaultRowHeight="13.8"/>
  <cols>
    <col min="1" max="1" width="1.33203125" style="50" customWidth="1"/>
    <col min="2" max="2" width="11.6640625" style="51" customWidth="1"/>
    <col min="3" max="3" width="26.44140625" style="52" customWidth="1"/>
    <col min="4" max="4" width="17.109375" style="52" customWidth="1"/>
    <col min="5" max="5" width="28.109375" style="52" customWidth="1"/>
    <col min="6" max="6" width="30.6640625" style="52" customWidth="1"/>
    <col min="7" max="257" width="9" style="50"/>
  </cols>
  <sheetData>
    <row r="1" spans="2:6" ht="24.75" customHeight="1">
      <c r="B1" s="53"/>
      <c r="D1" s="54" t="s">
        <v>64</v>
      </c>
      <c r="E1" s="55"/>
    </row>
    <row r="2" spans="2:6" ht="13.5" customHeight="1">
      <c r="B2" s="53"/>
      <c r="D2" s="56"/>
      <c r="E2" s="56"/>
    </row>
    <row r="3" spans="2:6" ht="12.75" customHeight="1">
      <c r="B3" s="8" t="s">
        <v>1</v>
      </c>
      <c r="C3" s="8"/>
      <c r="D3" s="7" t="str">
        <f>Cover!C4</f>
        <v>Dò vé số</v>
      </c>
      <c r="E3" s="7"/>
      <c r="F3" s="7"/>
    </row>
    <row r="4" spans="2:6" ht="12.75" customHeight="1">
      <c r="B4" s="8" t="s">
        <v>5</v>
      </c>
      <c r="C4" s="8"/>
      <c r="D4" s="7" t="str">
        <f>Cover!C5</f>
        <v>Lab301x</v>
      </c>
      <c r="E4" s="7"/>
      <c r="F4" s="7"/>
    </row>
    <row r="5" spans="2:6" s="57" customFormat="1" ht="84.75" customHeight="1">
      <c r="B5" s="6" t="s">
        <v>65</v>
      </c>
      <c r="C5" s="6"/>
      <c r="D5" s="5" t="s">
        <v>66</v>
      </c>
      <c r="E5" s="5"/>
      <c r="F5" s="5"/>
    </row>
    <row r="6" spans="2:6" ht="12.75" customHeight="1">
      <c r="B6" s="58"/>
      <c r="C6" s="50"/>
      <c r="D6" s="50"/>
      <c r="E6" s="50"/>
      <c r="F6" s="50"/>
    </row>
    <row r="7" spans="2:6" s="59" customFormat="1" ht="12.75" customHeight="1">
      <c r="B7" s="60"/>
      <c r="C7" s="61"/>
      <c r="D7" s="61"/>
      <c r="E7" s="61"/>
      <c r="F7" s="61"/>
    </row>
    <row r="8" spans="2:6" s="62" customFormat="1" ht="21" customHeight="1">
      <c r="B8" s="63" t="s">
        <v>67</v>
      </c>
      <c r="C8" s="64" t="s">
        <v>68</v>
      </c>
      <c r="D8" s="64" t="s">
        <v>69</v>
      </c>
      <c r="E8" s="65" t="s">
        <v>70</v>
      </c>
      <c r="F8" s="66" t="s">
        <v>71</v>
      </c>
    </row>
    <row r="9" spans="2:6" ht="12.75" customHeight="1">
      <c r="B9" s="67">
        <v>1</v>
      </c>
      <c r="C9" s="68" t="s">
        <v>31</v>
      </c>
      <c r="D9" s="69" t="s">
        <v>72</v>
      </c>
      <c r="E9" s="69"/>
      <c r="F9" s="70"/>
    </row>
    <row r="10" spans="2:6" ht="12.75" customHeight="1">
      <c r="B10" s="67">
        <v>2</v>
      </c>
      <c r="C10" s="68" t="s">
        <v>43</v>
      </c>
      <c r="D10" s="69" t="s">
        <v>72</v>
      </c>
      <c r="E10" s="69"/>
      <c r="F10" s="70"/>
    </row>
    <row r="11" spans="2:6" ht="12.75" customHeight="1">
      <c r="B11" s="67">
        <v>3</v>
      </c>
      <c r="C11" s="68" t="s">
        <v>55</v>
      </c>
      <c r="D11" s="69" t="s">
        <v>72</v>
      </c>
      <c r="E11" s="69"/>
      <c r="F11" s="70"/>
    </row>
    <row r="12" spans="2:6" ht="12.75" customHeight="1">
      <c r="B12" s="67">
        <v>4</v>
      </c>
      <c r="C12" s="68" t="s">
        <v>60</v>
      </c>
      <c r="D12" s="69" t="s">
        <v>72</v>
      </c>
      <c r="E12" s="69"/>
      <c r="F12" s="70"/>
    </row>
    <row r="13" spans="2:6" ht="12.75" customHeight="1">
      <c r="B13" s="67"/>
      <c r="C13" s="68"/>
      <c r="D13" s="69"/>
      <c r="E13" s="69"/>
      <c r="F13" s="70"/>
    </row>
    <row r="14" spans="2:6" ht="12.75" customHeight="1">
      <c r="B14" s="67"/>
      <c r="C14" s="68"/>
      <c r="D14" s="69"/>
      <c r="E14" s="71"/>
      <c r="F14" s="70"/>
    </row>
    <row r="15" spans="2:6" ht="12.75" customHeight="1">
      <c r="B15" s="67"/>
      <c r="C15" s="68"/>
      <c r="D15" s="69"/>
      <c r="E15" s="71"/>
      <c r="F15" s="70"/>
    </row>
    <row r="16" spans="2:6" ht="12.75" customHeight="1">
      <c r="B16" s="72"/>
      <c r="C16" s="73"/>
      <c r="D16" s="74"/>
      <c r="E16" s="74"/>
      <c r="F16" s="75"/>
    </row>
    <row r="17" spans="2:6" ht="12.75" customHeight="1">
      <c r="B17" s="72"/>
      <c r="C17" s="73"/>
      <c r="D17" s="74"/>
      <c r="E17" s="74"/>
      <c r="F17" s="75"/>
    </row>
    <row r="18" spans="2:6" ht="12.75" customHeight="1">
      <c r="B18" s="72"/>
      <c r="C18" s="73"/>
      <c r="D18" s="74"/>
      <c r="E18" s="74"/>
      <c r="F18" s="75"/>
    </row>
    <row r="19" spans="2:6" ht="12.75" customHeight="1">
      <c r="B19" s="72"/>
      <c r="C19" s="73"/>
      <c r="D19" s="74"/>
      <c r="E19" s="74"/>
      <c r="F19" s="75"/>
    </row>
    <row r="20" spans="2:6" ht="12.75" customHeight="1">
      <c r="B20" s="72"/>
      <c r="C20" s="73"/>
      <c r="D20" s="74"/>
      <c r="E20" s="74"/>
      <c r="F20" s="75"/>
    </row>
    <row r="21" spans="2:6" ht="12.75" customHeight="1">
      <c r="B21" s="76"/>
      <c r="C21" s="77"/>
      <c r="D21" s="78"/>
      <c r="E21" s="78"/>
      <c r="F21" s="79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Module1!B10" display="Module1" xr:uid="{00000000-0004-0000-0200-000000000000}"/>
    <hyperlink ref="D10" location="Module1!B14" display="Module1" xr:uid="{00000000-0004-0000-0200-000001000000}"/>
    <hyperlink ref="D11" location="Module2!B17" display="Module1" xr:uid="{00000000-0004-0000-0200-000002000000}"/>
    <hyperlink ref="D12" location="Module3!A1" display="Module1" xr:uid="{00000000-0004-0000-0200-000003000000}"/>
  </hyperlinks>
  <pageMargins left="0.74791666666666701" right="0.74791666666666701" top="0.98402777777777795" bottom="1.15069444444444" header="0.511811023622047" footer="0.98402777777777795"/>
  <pageSetup paperSize="9" orientation="landscape" horizontalDpi="300" verticalDpi="300"/>
  <headerFooter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W30"/>
  <sheetViews>
    <sheetView zoomScale="85" zoomScaleNormal="85" workbookViewId="0">
      <pane ySplit="8" topLeftCell="A21" activePane="bottomLeft" state="frozen"/>
      <selection pane="bottomLeft" activeCell="A31" sqref="A31"/>
    </sheetView>
  </sheetViews>
  <sheetFormatPr defaultColWidth="9" defaultRowHeight="13.8"/>
  <cols>
    <col min="1" max="1" width="17.44140625" style="57" customWidth="1"/>
    <col min="2" max="5" width="40.77734375" style="57" customWidth="1"/>
    <col min="6" max="7" width="10.77734375" style="57" customWidth="1"/>
    <col min="8" max="8" width="20.88671875" style="57" customWidth="1"/>
    <col min="9" max="9" width="8.109375" style="80" customWidth="1"/>
    <col min="10" max="10" width="8.44140625" style="57" customWidth="1"/>
    <col min="11" max="257" width="9" style="57"/>
    <col min="258" max="16384" width="9" style="81"/>
  </cols>
  <sheetData>
    <row r="1" spans="1:10" s="85" customFormat="1" ht="12.75" customHeight="1">
      <c r="A1" s="82"/>
      <c r="B1" s="82"/>
      <c r="C1" s="82"/>
      <c r="D1" s="82"/>
      <c r="E1" s="82"/>
      <c r="F1" s="83"/>
      <c r="G1" s="84"/>
      <c r="H1" s="57"/>
      <c r="I1" s="80"/>
    </row>
    <row r="2" spans="1:10" s="85" customFormat="1" ht="12.75" customHeight="1">
      <c r="A2" s="86" t="s">
        <v>73</v>
      </c>
      <c r="B2" s="4" t="s">
        <v>72</v>
      </c>
      <c r="C2" s="4"/>
      <c r="D2" s="4"/>
      <c r="E2" s="4"/>
      <c r="F2" s="4"/>
      <c r="G2" s="4"/>
      <c r="H2" s="4"/>
      <c r="I2" s="80"/>
      <c r="J2" s="85" t="s">
        <v>74</v>
      </c>
    </row>
    <row r="3" spans="1:10" s="85" customFormat="1" ht="12.75" customHeight="1">
      <c r="A3" s="87" t="s">
        <v>75</v>
      </c>
      <c r="B3" s="4" t="s">
        <v>76</v>
      </c>
      <c r="C3" s="4"/>
      <c r="D3" s="4"/>
      <c r="E3" s="4"/>
      <c r="F3" s="4"/>
      <c r="G3" s="4"/>
      <c r="H3" s="4"/>
      <c r="I3" s="80"/>
      <c r="J3" s="85" t="s">
        <v>77</v>
      </c>
    </row>
    <row r="4" spans="1:10" s="85" customFormat="1" ht="12.75" customHeight="1">
      <c r="A4" s="86" t="s">
        <v>78</v>
      </c>
      <c r="B4" s="4"/>
      <c r="C4" s="4"/>
      <c r="D4" s="4"/>
      <c r="E4" s="4"/>
      <c r="F4" s="4"/>
      <c r="G4" s="4"/>
      <c r="H4" s="4"/>
      <c r="I4" s="80"/>
      <c r="J4" s="85" t="s">
        <v>79</v>
      </c>
    </row>
    <row r="5" spans="1:10" s="85" customFormat="1" ht="12.75" customHeight="1">
      <c r="A5" s="88" t="s">
        <v>74</v>
      </c>
      <c r="B5" s="89" t="s">
        <v>77</v>
      </c>
      <c r="C5" s="89" t="s">
        <v>80</v>
      </c>
      <c r="D5" s="89" t="s">
        <v>79</v>
      </c>
      <c r="E5" s="90" t="s">
        <v>81</v>
      </c>
      <c r="F5" s="3" t="s">
        <v>82</v>
      </c>
      <c r="G5" s="3"/>
      <c r="H5" s="3"/>
      <c r="I5" s="91"/>
      <c r="J5" s="85" t="s">
        <v>80</v>
      </c>
    </row>
    <row r="6" spans="1:10" s="85" customFormat="1" ht="12.75" customHeight="1">
      <c r="A6" s="92">
        <f>COUNTIF(F9:F995,"Passed")</f>
        <v>18</v>
      </c>
      <c r="B6" s="93">
        <f>COUNTIF(F9:F995,"Failed")</f>
        <v>0</v>
      </c>
      <c r="C6" s="93">
        <f>F6-E6-D6-B6-A6</f>
        <v>0</v>
      </c>
      <c r="D6" s="93">
        <f>COUNTIF(F$9:F$995,"Blocked")</f>
        <v>0</v>
      </c>
      <c r="E6" s="94">
        <f>COUNTIF(F$9:F$995,"Skipped")</f>
        <v>0</v>
      </c>
      <c r="F6" s="2">
        <f>COUNTA(A9:A995)</f>
        <v>18</v>
      </c>
      <c r="G6" s="2"/>
      <c r="H6" s="2"/>
      <c r="I6" s="91"/>
      <c r="J6" s="85" t="s">
        <v>81</v>
      </c>
    </row>
    <row r="7" spans="1:10" s="85" customFormat="1" ht="12.75" customHeight="1">
      <c r="D7" s="95"/>
      <c r="E7" s="95"/>
      <c r="F7" s="96"/>
      <c r="G7" s="96"/>
      <c r="H7" s="96"/>
      <c r="I7" s="91"/>
    </row>
    <row r="8" spans="1:10" s="85" customFormat="1" ht="12.75" customHeight="1">
      <c r="A8" s="46" t="s">
        <v>83</v>
      </c>
      <c r="B8" s="46" t="s">
        <v>84</v>
      </c>
      <c r="C8" s="46" t="s">
        <v>85</v>
      </c>
      <c r="D8" s="46" t="s">
        <v>86</v>
      </c>
      <c r="E8" s="46" t="s">
        <v>87</v>
      </c>
      <c r="F8" s="46" t="s">
        <v>88</v>
      </c>
      <c r="G8" s="46" t="s">
        <v>89</v>
      </c>
      <c r="H8" s="46" t="s">
        <v>29</v>
      </c>
      <c r="I8" s="97"/>
    </row>
    <row r="9" spans="1:10" s="85" customFormat="1" ht="12.75" customHeight="1">
      <c r="A9" s="98"/>
      <c r="B9" s="98" t="s">
        <v>31</v>
      </c>
      <c r="C9" s="98"/>
      <c r="D9" s="98"/>
      <c r="E9" s="98"/>
      <c r="F9" s="98"/>
      <c r="G9" s="98"/>
      <c r="H9" s="98"/>
    </row>
    <row r="10" spans="1:10" s="100" customFormat="1" ht="26.4">
      <c r="A10" s="99" t="str">
        <f>IF(OR(B10&lt;&gt;"",D10&lt;&gt;""),"[" &amp;TEXT($B$2,"##")&amp;"-"&amp;TEXT(1,"00")&amp;"]","")</f>
        <v>[Module1-01]</v>
      </c>
      <c r="B10" s="99" t="s">
        <v>90</v>
      </c>
      <c r="C10" s="99" t="s">
        <v>91</v>
      </c>
      <c r="D10" s="99" t="s">
        <v>92</v>
      </c>
      <c r="E10" s="99"/>
      <c r="F10" s="134" t="s">
        <v>74</v>
      </c>
      <c r="G10" s="133" t="s">
        <v>11</v>
      </c>
      <c r="H10" s="99"/>
    </row>
    <row r="11" spans="1:10" ht="39.6">
      <c r="A11" s="99" t="str">
        <f>IF(OR(B11&lt;&gt;"",D11&lt;&gt;""),"[" &amp;TEXT($B$2,"##")&amp;"-"&amp;TEXT(2,"00")&amp;"]","")</f>
        <v>[Module1-02]</v>
      </c>
      <c r="B11" s="99" t="s">
        <v>36</v>
      </c>
      <c r="C11" s="99" t="s">
        <v>93</v>
      </c>
      <c r="D11" s="99" t="s">
        <v>94</v>
      </c>
      <c r="E11" s="99"/>
      <c r="F11" s="134" t="s">
        <v>74</v>
      </c>
      <c r="G11" s="133" t="s">
        <v>11</v>
      </c>
      <c r="H11" s="99"/>
    </row>
    <row r="12" spans="1:10" ht="25.8" customHeight="1">
      <c r="A12" s="99" t="str">
        <f>IF(OR(B12&lt;&gt;"",D12&lt;&gt;""),"[" &amp;TEXT($B$2,"##")&amp;"-"&amp;TEXT(3,"00")&amp;"]","")</f>
        <v>[Module1-03]</v>
      </c>
      <c r="B12" s="99" t="s">
        <v>37</v>
      </c>
      <c r="C12" s="99" t="s">
        <v>95</v>
      </c>
      <c r="D12" s="99" t="s">
        <v>96</v>
      </c>
      <c r="E12" s="99"/>
      <c r="F12" s="134" t="s">
        <v>74</v>
      </c>
      <c r="G12" s="133" t="s">
        <v>11</v>
      </c>
      <c r="H12" s="99"/>
    </row>
    <row r="13" spans="1:10" s="85" customFormat="1" ht="39.6">
      <c r="A13" s="99" t="str">
        <f>IF(OR(B13&lt;&gt;"",D13&lt;&gt;""),"[" &amp;TEXT($B$2,"##")&amp;"-"&amp;TEXT(4,"00")&amp;"]","")</f>
        <v>[Module1-04]</v>
      </c>
      <c r="B13" s="99" t="s">
        <v>97</v>
      </c>
      <c r="C13" s="99" t="s">
        <v>98</v>
      </c>
      <c r="D13" s="99" t="s">
        <v>99</v>
      </c>
      <c r="E13" s="99"/>
      <c r="F13" s="134" t="s">
        <v>74</v>
      </c>
      <c r="G13" s="133" t="s">
        <v>11</v>
      </c>
      <c r="H13" s="99"/>
    </row>
    <row r="14" spans="1:10" ht="26.4">
      <c r="A14" s="99" t="str">
        <f>IF(OR(B14&lt;&gt;"",D14&lt;&gt;""),"[" &amp;TEXT($B$2,"##")&amp;"-"&amp;TEXT(5,"00")&amp;"]","")</f>
        <v>[Module1-05]</v>
      </c>
      <c r="B14" s="99" t="s">
        <v>39</v>
      </c>
      <c r="C14" s="99" t="s">
        <v>100</v>
      </c>
      <c r="D14" s="99" t="s">
        <v>101</v>
      </c>
      <c r="E14" s="99" t="s">
        <v>102</v>
      </c>
      <c r="F14" s="134" t="s">
        <v>74</v>
      </c>
      <c r="G14" s="133" t="s">
        <v>11</v>
      </c>
      <c r="H14" s="99"/>
    </row>
    <row r="15" spans="1:10" ht="26.4">
      <c r="A15" s="99" t="str">
        <f>IF(OR(B15&lt;&gt;"",D15&lt;&gt;""),"[" &amp;TEXT($B$2,"##")&amp;"-"&amp;TEXT(6,"00")&amp;"]","")</f>
        <v>[Module1-06]</v>
      </c>
      <c r="B15" s="99" t="s">
        <v>41</v>
      </c>
      <c r="C15" s="99" t="s">
        <v>103</v>
      </c>
      <c r="D15" s="99" t="s">
        <v>104</v>
      </c>
      <c r="E15" s="99"/>
      <c r="F15" s="134" t="s">
        <v>74</v>
      </c>
      <c r="G15" s="133" t="s">
        <v>11</v>
      </c>
      <c r="H15" s="99"/>
    </row>
    <row r="16" spans="1:10" s="85" customFormat="1" ht="26.4">
      <c r="A16" s="99" t="str">
        <f>IF(OR(B16&lt;&gt;"",D16&lt;&gt;""),"[" &amp;TEXT($B$2,"##")&amp;"-"&amp;TEXT(7,"00")&amp;"]","")</f>
        <v>[Module1-07]</v>
      </c>
      <c r="B16" s="99" t="s">
        <v>105</v>
      </c>
      <c r="C16" s="99" t="s">
        <v>106</v>
      </c>
      <c r="D16" s="99" t="s">
        <v>107</v>
      </c>
      <c r="E16" s="99"/>
      <c r="F16" s="134" t="s">
        <v>74</v>
      </c>
      <c r="G16" s="133" t="s">
        <v>11</v>
      </c>
      <c r="H16" s="99"/>
    </row>
    <row r="17" spans="1:8">
      <c r="A17" s="98"/>
      <c r="B17" s="98" t="s">
        <v>43</v>
      </c>
      <c r="C17" s="98"/>
      <c r="D17" s="98"/>
      <c r="E17" s="98"/>
      <c r="F17" s="98"/>
      <c r="G17" s="98"/>
      <c r="H17" s="98"/>
    </row>
    <row r="18" spans="1:8" ht="52.8">
      <c r="A18" s="99" t="str">
        <f>IF(OR(B18&lt;&gt;"",D18&lt;&gt;""),"[" &amp;TEXT($B$2,"##")&amp;"-"&amp;TEXT(8,"00")&amp;"]","")</f>
        <v>[Module1-08]</v>
      </c>
      <c r="B18" s="99" t="s">
        <v>108</v>
      </c>
      <c r="C18" s="99" t="s">
        <v>109</v>
      </c>
      <c r="D18" s="99" t="s">
        <v>143</v>
      </c>
      <c r="E18" s="99" t="s">
        <v>110</v>
      </c>
      <c r="F18" s="134" t="s">
        <v>74</v>
      </c>
      <c r="G18" s="133" t="s">
        <v>11</v>
      </c>
      <c r="H18" s="99"/>
    </row>
    <row r="19" spans="1:8" ht="26.4">
      <c r="A19" s="99" t="str">
        <f>IF(OR(B19&lt;&gt;"",D19&lt;&gt;""),"[" &amp;TEXT($B$2,"##")&amp;"-"&amp;TEXT(9,"00")&amp;"]","")</f>
        <v>[Module1-09]</v>
      </c>
      <c r="B19" s="99" t="s">
        <v>47</v>
      </c>
      <c r="C19" s="99" t="s">
        <v>111</v>
      </c>
      <c r="D19" s="99" t="s">
        <v>144</v>
      </c>
      <c r="E19" s="99"/>
      <c r="F19" s="134" t="s">
        <v>74</v>
      </c>
      <c r="G19" s="133" t="s">
        <v>11</v>
      </c>
      <c r="H19" s="99"/>
    </row>
    <row r="20" spans="1:8" ht="39.6">
      <c r="A20" s="99" t="str">
        <f>IF(OR(B20&lt;&gt;"",D20&lt;&gt;""),"[" &amp;TEXT($B$2,"##")&amp;"-"&amp;TEXT(10,"00")&amp;"]","")</f>
        <v>[Module1-10]</v>
      </c>
      <c r="B20" s="99" t="s">
        <v>48</v>
      </c>
      <c r="C20" s="99" t="s">
        <v>112</v>
      </c>
      <c r="D20" s="99" t="s">
        <v>145</v>
      </c>
      <c r="E20" s="99" t="s">
        <v>113</v>
      </c>
      <c r="F20" s="134" t="s">
        <v>74</v>
      </c>
      <c r="G20" s="133" t="s">
        <v>11</v>
      </c>
      <c r="H20" s="99"/>
    </row>
    <row r="21" spans="1:8" ht="26.25" customHeight="1">
      <c r="A21" s="99" t="str">
        <f>IF(OR(B21&lt;&gt;"",D21&lt;&gt;""),"[" &amp;TEXT($B$2,"##")&amp;"-"&amp;TEXT(11,"00")&amp;"]","")</f>
        <v>[Module1-11]</v>
      </c>
      <c r="B21" s="99" t="s">
        <v>50</v>
      </c>
      <c r="C21" s="99" t="s">
        <v>114</v>
      </c>
      <c r="D21" s="99" t="s">
        <v>146</v>
      </c>
      <c r="E21" s="99" t="s">
        <v>115</v>
      </c>
      <c r="F21" s="134" t="s">
        <v>74</v>
      </c>
      <c r="G21" s="133" t="s">
        <v>11</v>
      </c>
      <c r="H21" s="99"/>
    </row>
    <row r="22" spans="1:8" ht="52.8">
      <c r="A22" s="99" t="str">
        <f>IF(OR(B22&lt;&gt;"",D22&lt;&gt;""),"[" &amp;TEXT($B$2,"##")&amp;"-"&amp;TEXT(12,"00")&amp;"]","")</f>
        <v>[Module1-12]</v>
      </c>
      <c r="B22" s="99" t="s">
        <v>116</v>
      </c>
      <c r="C22" s="99" t="s">
        <v>117</v>
      </c>
      <c r="D22" s="99" t="s">
        <v>118</v>
      </c>
      <c r="E22" s="99" t="s">
        <v>119</v>
      </c>
      <c r="F22" s="134" t="s">
        <v>74</v>
      </c>
      <c r="G22" s="133" t="s">
        <v>11</v>
      </c>
      <c r="H22" s="99"/>
    </row>
    <row r="23" spans="1:8" ht="26.4">
      <c r="A23" s="99" t="str">
        <f>IF(OR(B23&lt;&gt;"",D23&lt;&gt;""),"[" &amp;TEXT($B$2,"##")&amp;"-"&amp;TEXT(13,"00")&amp;"]","")</f>
        <v>[Module1-13]</v>
      </c>
      <c r="B23" s="99" t="s">
        <v>53</v>
      </c>
      <c r="C23" s="99" t="s">
        <v>147</v>
      </c>
      <c r="D23" s="99" t="s">
        <v>120</v>
      </c>
      <c r="E23" s="99"/>
      <c r="F23" s="134" t="s">
        <v>74</v>
      </c>
      <c r="G23" s="133" t="s">
        <v>11</v>
      </c>
      <c r="H23" s="99"/>
    </row>
    <row r="24" spans="1:8" ht="26.4">
      <c r="A24" s="99" t="str">
        <f>IF(OR(B24&lt;&gt;"",D24&lt;&gt;""),"[" &amp;TEXT($B$2,"##")&amp;"-"&amp;TEXT(14,"00")&amp;"]","")</f>
        <v>[Module1-14]</v>
      </c>
      <c r="B24" s="99" t="s">
        <v>54</v>
      </c>
      <c r="C24" s="99" t="s">
        <v>121</v>
      </c>
      <c r="D24" s="99" t="s">
        <v>122</v>
      </c>
      <c r="E24" s="99"/>
      <c r="F24" s="134" t="s">
        <v>74</v>
      </c>
      <c r="G24" s="133" t="s">
        <v>11</v>
      </c>
      <c r="H24" s="99"/>
    </row>
    <row r="25" spans="1:8">
      <c r="A25" s="98"/>
      <c r="B25" s="98" t="s">
        <v>55</v>
      </c>
      <c r="C25" s="98"/>
      <c r="D25" s="98"/>
      <c r="E25" s="98"/>
      <c r="F25" s="98"/>
      <c r="G25" s="98"/>
      <c r="H25" s="98"/>
    </row>
    <row r="26" spans="1:8" ht="39.6">
      <c r="A26" s="99" t="str">
        <f>IF(OR(B26&lt;&gt;"",D26&lt;&gt;""),"[" &amp;TEXT($B$2,"##")&amp;"-"&amp;TEXT(15,"00")&amp;"]","")</f>
        <v>[Module1-15]</v>
      </c>
      <c r="B26" s="99" t="s">
        <v>56</v>
      </c>
      <c r="C26" s="99" t="s">
        <v>123</v>
      </c>
      <c r="D26" s="99" t="s">
        <v>149</v>
      </c>
      <c r="E26" s="99"/>
      <c r="F26" s="134" t="s">
        <v>74</v>
      </c>
      <c r="G26" s="133" t="s">
        <v>11</v>
      </c>
      <c r="H26" s="99"/>
    </row>
    <row r="27" spans="1:8" ht="39.6">
      <c r="A27" s="99" t="str">
        <f>IF(OR(B27&lt;&gt;"",D27&lt;&gt;""),"[" &amp;TEXT($B$2,"##")&amp;"-"&amp;TEXT(16,"00")&amp;"]","")</f>
        <v>[Module1-16]</v>
      </c>
      <c r="B27" s="99" t="s">
        <v>58</v>
      </c>
      <c r="C27" s="99" t="s">
        <v>124</v>
      </c>
      <c r="D27" s="99" t="s">
        <v>125</v>
      </c>
      <c r="E27" s="99"/>
      <c r="F27" s="134" t="s">
        <v>74</v>
      </c>
      <c r="G27" s="133" t="s">
        <v>11</v>
      </c>
      <c r="H27" s="99"/>
    </row>
    <row r="28" spans="1:8">
      <c r="A28" s="98"/>
      <c r="B28" s="98" t="s">
        <v>60</v>
      </c>
      <c r="C28" s="98"/>
      <c r="D28" s="98"/>
      <c r="E28" s="98"/>
      <c r="F28" s="98"/>
      <c r="G28" s="98"/>
      <c r="H28" s="98"/>
    </row>
    <row r="29" spans="1:8" ht="26.4">
      <c r="A29" s="99" t="str">
        <f>IF(OR(B29&lt;&gt;"",D29&lt;&gt;""),"[" &amp;TEXT($B$2,"##")&amp;"-"&amp;TEXT(17,"00")&amp;"]","")</f>
        <v>[Module1-17]</v>
      </c>
      <c r="B29" s="99" t="s">
        <v>126</v>
      </c>
      <c r="C29" s="99" t="s">
        <v>127</v>
      </c>
      <c r="D29" s="99" t="s">
        <v>148</v>
      </c>
      <c r="E29" s="99"/>
      <c r="F29" s="134" t="s">
        <v>74</v>
      </c>
      <c r="G29" s="133" t="s">
        <v>11</v>
      </c>
      <c r="H29" s="99"/>
    </row>
    <row r="30" spans="1:8" ht="26.4">
      <c r="A30" s="99" t="str">
        <f>IF(OR(B30&lt;&gt;"",D30&lt;&gt;""),"[" &amp;TEXT($B$2,"##")&amp;"-"&amp;TEXT(18,"00")&amp;"]","")</f>
        <v>[Module1-18]</v>
      </c>
      <c r="B30" s="99" t="s">
        <v>128</v>
      </c>
      <c r="C30" s="99" t="s">
        <v>129</v>
      </c>
      <c r="D30" s="99" t="s">
        <v>130</v>
      </c>
      <c r="E30" s="99" t="s">
        <v>131</v>
      </c>
      <c r="F30" s="134" t="s">
        <v>74</v>
      </c>
      <c r="G30" s="133" t="s">
        <v>11</v>
      </c>
      <c r="H30" s="99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ErrorMessage="1" sqref="F1 F7:F144" xr:uid="{00000000-0002-0000-0300-000000000000}">
      <formula1>$J$2:$J$6</formula1>
      <formula2>0</formula2>
    </dataValidation>
  </dataValidations>
  <pageMargins left="0.74791666666666701" right="0.25" top="0.75" bottom="0.98402777777777795" header="0.5" footer="0.5"/>
  <pageSetup paperSize="9" orientation="landscape" horizontalDpi="300" verticalDpi="300"/>
  <headerFooter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17"/>
  <sheetViews>
    <sheetView tabSelected="1" zoomScaleNormal="100" workbookViewId="0">
      <selection activeCell="M10" sqref="M10"/>
    </sheetView>
  </sheetViews>
  <sheetFormatPr defaultColWidth="9" defaultRowHeight="13.8"/>
  <cols>
    <col min="1" max="1" width="9" style="20"/>
    <col min="2" max="2" width="13.44140625" style="20" customWidth="1"/>
    <col min="3" max="3" width="19.33203125" style="20" customWidth="1"/>
    <col min="4" max="7" width="9" style="20"/>
    <col min="8" max="8" width="9.109375" style="20" customWidth="1"/>
    <col min="9" max="9" width="23.44140625" style="20" customWidth="1"/>
    <col min="10" max="257" width="9" style="20"/>
    <col min="258" max="16384" width="9" style="15"/>
  </cols>
  <sheetData>
    <row r="1" spans="1:9" ht="25.5" customHeight="1">
      <c r="B1" s="1" t="s">
        <v>132</v>
      </c>
      <c r="C1" s="1"/>
      <c r="D1" s="1"/>
      <c r="E1" s="1"/>
      <c r="F1" s="1"/>
      <c r="G1" s="1"/>
      <c r="H1" s="1"/>
    </row>
    <row r="2" spans="1:9" ht="14.25" customHeight="1">
      <c r="A2" s="101"/>
      <c r="B2" s="101"/>
      <c r="H2" s="102"/>
    </row>
    <row r="3" spans="1:9" ht="12" customHeight="1">
      <c r="B3" s="23" t="s">
        <v>1</v>
      </c>
      <c r="C3" s="129" t="s">
        <v>2</v>
      </c>
      <c r="D3" s="129"/>
      <c r="E3" s="130" t="s">
        <v>3</v>
      </c>
      <c r="F3" s="130"/>
      <c r="G3" s="103" t="s">
        <v>4</v>
      </c>
      <c r="H3" s="104"/>
    </row>
    <row r="4" spans="1:9" ht="12" customHeight="1">
      <c r="B4" s="23" t="s">
        <v>5</v>
      </c>
      <c r="C4" s="129" t="s">
        <v>6</v>
      </c>
      <c r="D4" s="129"/>
      <c r="E4" s="130" t="s">
        <v>7</v>
      </c>
      <c r="F4" s="130"/>
      <c r="G4" s="103" t="s">
        <v>8</v>
      </c>
      <c r="H4" s="104"/>
    </row>
    <row r="5" spans="1:9" ht="12" customHeight="1">
      <c r="B5" s="105" t="s">
        <v>9</v>
      </c>
      <c r="C5" s="129" t="str">
        <f>C4&amp;"_"&amp;"CN2_TestCase"&amp;"_"&amp;"v1.0"</f>
        <v>Lab301x_CN2_TestCase_v1.0</v>
      </c>
      <c r="D5" s="129"/>
      <c r="E5" s="130" t="s">
        <v>10</v>
      </c>
      <c r="F5" s="130"/>
      <c r="G5" s="131" t="s">
        <v>11</v>
      </c>
      <c r="H5" s="131"/>
    </row>
    <row r="6" spans="1:9" ht="21.75" customHeight="1">
      <c r="A6" s="101"/>
      <c r="B6" s="105" t="s">
        <v>133</v>
      </c>
      <c r="C6" s="132" t="s">
        <v>150</v>
      </c>
      <c r="D6" s="132"/>
      <c r="E6" s="132"/>
      <c r="F6" s="132"/>
      <c r="G6" s="132"/>
      <c r="H6" s="132"/>
    </row>
    <row r="7" spans="1:9" ht="14.25" customHeight="1">
      <c r="A7" s="101"/>
      <c r="B7" s="24"/>
      <c r="C7" s="106"/>
      <c r="G7" s="102"/>
      <c r="H7" s="102"/>
    </row>
    <row r="8" spans="1:9" ht="12.75" customHeight="1">
      <c r="B8" s="24"/>
      <c r="C8" s="106"/>
      <c r="H8" s="102"/>
    </row>
    <row r="9" spans="1:9" ht="13.5" customHeight="1">
      <c r="B9" s="107" t="s">
        <v>67</v>
      </c>
      <c r="C9" s="108" t="s">
        <v>134</v>
      </c>
      <c r="D9" s="109" t="s">
        <v>135</v>
      </c>
      <c r="E9" s="108" t="s">
        <v>136</v>
      </c>
      <c r="F9" s="108" t="s">
        <v>80</v>
      </c>
      <c r="G9" s="110" t="s">
        <v>79</v>
      </c>
      <c r="H9" s="111" t="s">
        <v>81</v>
      </c>
      <c r="I9" s="112" t="s">
        <v>137</v>
      </c>
    </row>
    <row r="10" spans="1:9" ht="12.75" customHeight="1">
      <c r="B10" s="113">
        <v>1</v>
      </c>
      <c r="C10" s="114" t="str">
        <f>Module1!B2</f>
        <v>Module1</v>
      </c>
      <c r="D10" s="115">
        <f>Module1!A6</f>
        <v>18</v>
      </c>
      <c r="E10" s="115">
        <f>Module1!B6</f>
        <v>0</v>
      </c>
      <c r="F10" s="115">
        <f>Module1!C6</f>
        <v>0</v>
      </c>
      <c r="G10" s="115">
        <f>Module1!D6</f>
        <v>0</v>
      </c>
      <c r="H10" s="115">
        <f>Module1!E6</f>
        <v>0</v>
      </c>
      <c r="I10" s="116">
        <f>Module1!F6</f>
        <v>18</v>
      </c>
    </row>
    <row r="11" spans="1:9" ht="12.75" customHeight="1">
      <c r="B11" s="113"/>
      <c r="C11" s="114"/>
      <c r="D11" s="115"/>
      <c r="E11" s="115"/>
      <c r="F11" s="115"/>
      <c r="G11" s="115"/>
      <c r="H11" s="115"/>
      <c r="I11" s="116"/>
    </row>
    <row r="12" spans="1:9">
      <c r="B12" s="117"/>
      <c r="C12" s="114"/>
      <c r="D12" s="115"/>
      <c r="E12" s="115"/>
      <c r="F12" s="115"/>
      <c r="G12" s="115"/>
      <c r="H12" s="115"/>
      <c r="I12" s="116"/>
    </row>
    <row r="13" spans="1:9" ht="12.75" customHeight="1">
      <c r="B13" s="118"/>
      <c r="C13" s="119" t="s">
        <v>138</v>
      </c>
      <c r="D13" s="120">
        <f t="shared" ref="D13:I13" si="0">SUM(D10:D12)</f>
        <v>18</v>
      </c>
      <c r="E13" s="120">
        <f t="shared" si="0"/>
        <v>0</v>
      </c>
      <c r="F13" s="120">
        <f t="shared" si="0"/>
        <v>0</v>
      </c>
      <c r="G13" s="120">
        <f t="shared" si="0"/>
        <v>0</v>
      </c>
      <c r="H13" s="121">
        <f t="shared" si="0"/>
        <v>0</v>
      </c>
      <c r="I13" s="122">
        <f t="shared" si="0"/>
        <v>18</v>
      </c>
    </row>
    <row r="14" spans="1:9" ht="12.75" customHeight="1">
      <c r="B14" s="123"/>
      <c r="D14" s="124"/>
      <c r="E14" s="125"/>
      <c r="F14" s="125"/>
      <c r="G14" s="125"/>
      <c r="H14" s="125"/>
    </row>
    <row r="15" spans="1:9" ht="12.75" customHeight="1">
      <c r="C15" s="126" t="s">
        <v>139</v>
      </c>
      <c r="E15" s="127">
        <f>IFERROR((D13+E13)*100/(I13-H13-G13),0)</f>
        <v>100</v>
      </c>
      <c r="F15" s="20" t="s">
        <v>140</v>
      </c>
      <c r="H15" s="128"/>
    </row>
    <row r="16" spans="1:9" ht="12.75" customHeight="1">
      <c r="C16" s="126" t="s">
        <v>141</v>
      </c>
      <c r="E16" s="127">
        <f>IFERROR(D13*100/(D13+E13),0)</f>
        <v>100</v>
      </c>
      <c r="F16" s="20" t="s">
        <v>140</v>
      </c>
      <c r="H16" s="128"/>
    </row>
    <row r="17" ht="12.75" customHeight="1"/>
  </sheetData>
  <mergeCells count="9">
    <mergeCell ref="C5:D5"/>
    <mergeCell ref="E5:F5"/>
    <mergeCell ref="G5:H5"/>
    <mergeCell ref="C6:H6"/>
    <mergeCell ref="B1:H1"/>
    <mergeCell ref="C3:D3"/>
    <mergeCell ref="E3:F3"/>
    <mergeCell ref="C4:D4"/>
    <mergeCell ref="E4:F4"/>
  </mergeCells>
  <pageMargins left="0.74791666666666701" right="0.74791666666666701" top="0.98402777777777795" bottom="0.98402777777777795" header="0.511811023622047" footer="0.5"/>
  <pageSetup orientation="landscape" horizontalDpi="300" verticalDpi="300"/>
  <headerFooter>
    <oddFooter>&amp;L&amp;"Tahoma,Regular"&amp;8 02ae-BM/PM/HDCV/FSOFT v2/0&amp;C&amp;"tahoma,Regular"&amp;8 Internal use&amp;R&amp;"Tahoma,Regular"&amp;8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</vt:lpstr>
      <vt:lpstr>TestDesign</vt:lpstr>
      <vt:lpstr>Test case List</vt:lpstr>
      <vt:lpstr>Module1</vt:lpstr>
      <vt:lpstr>Test Report</vt:lpstr>
      <vt:lpstr>Module1!Excel_BuiltIn__FilterDatabase</vt:lpstr>
      <vt:lpstr>TestDesign!Print_Area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/>
  <dc:description>Updates sheet Cover: Add logo, document code, creator, reviewer/approver._x005f_x000d_
Add sheet Test Case List._x005f_x000d_
Change Sheet Company, User, Provider to Modules. Add column Inter-test case dependent. Update these sheets._x005f_x000d_
Update Test Report_x005f_x000d_
</dc:description>
  <cp:lastModifiedBy>Việt Đức Nguyễn</cp:lastModifiedBy>
  <cp:revision>0</cp:revision>
  <cp:lastPrinted>2010-11-12T10:33:20Z</cp:lastPrinted>
  <dcterms:created xsi:type="dcterms:W3CDTF">2014-07-14T08:56:24Z</dcterms:created>
  <dcterms:modified xsi:type="dcterms:W3CDTF">2026-10-01T07:48:34Z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Info">
    <vt:lpwstr/>
  </property>
  <property fmtid="{D5CDD505-2E9C-101B-9397-08002B2CF9AE}" pid="3" name="Number Of Viewer">
    <vt:lpwstr>0</vt:lpwstr>
  </property>
  <property fmtid="{D5CDD505-2E9C-101B-9397-08002B2CF9AE}" pid="4" name="Order">
    <vt:lpwstr/>
  </property>
  <property fmtid="{D5CDD505-2E9C-101B-9397-08002B2CF9AE}" pid="5" name="Priority">
    <vt:lpwstr/>
  </property>
  <property fmtid="{D5CDD505-2E9C-101B-9397-08002B2CF9AE}" pid="6" name="TemplateUrl">
    <vt:lpwstr/>
  </property>
  <property fmtid="{D5CDD505-2E9C-101B-9397-08002B2CF9AE}" pid="7" name="_SharedFileIndex">
    <vt:lpwstr/>
  </property>
  <property fmtid="{D5CDD505-2E9C-101B-9397-08002B2CF9AE}" pid="8" name="_SourceUrl">
    <vt:lpwstr/>
  </property>
  <property fmtid="{D5CDD505-2E9C-101B-9397-08002B2CF9AE}" pid="9" name="xd_ProgID">
    <vt:lpwstr/>
  </property>
</Properties>
</file>