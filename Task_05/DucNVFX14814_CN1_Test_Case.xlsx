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Funix\4. CC4\5. LAB301x\LAB301x_01\Task_05\"/>
    </mc:Choice>
  </mc:AlternateContent>
  <xr:revisionPtr revIDLastSave="0" documentId="13_ncr:1_{FC701FA1-5E8E-4E64-B255-7A268C393A9E}" xr6:coauthVersionLast="47" xr6:coauthVersionMax="47" xr10:uidLastSave="{00000000-0000-0000-0000-000000000000}"/>
  <bookViews>
    <workbookView xWindow="-108" yWindow="-108" windowWidth="23256" windowHeight="12576" tabRatio="500" firstSheet="1" activeTab="6" xr2:uid="{00000000-000D-0000-FFFF-FFFF00000000}"/>
  </bookViews>
  <sheets>
    <sheet name="Cover" sheetId="1" r:id="rId1"/>
    <sheet name="TestDesign" sheetId="2" r:id="rId2"/>
    <sheet name="Test case List" sheetId="3" r:id="rId3"/>
    <sheet name="Module1" sheetId="4" r:id="rId4"/>
    <sheet name="Module2" sheetId="5" r:id="rId5"/>
    <sheet name="Module3" sheetId="6" r:id="rId6"/>
    <sheet name="Test Report" sheetId="7" r:id="rId7"/>
  </sheets>
  <definedNames>
    <definedName name="_xlnm._FilterDatabase" localSheetId="1" hidden="1">TestDesign!$A$1:$F$15</definedName>
    <definedName name="_Toc301930468" localSheetId="1">#REF!</definedName>
    <definedName name="_Toc301930478" localSheetId="1">#REF!</definedName>
    <definedName name="ACTION">#REF!</definedName>
    <definedName name="Excel_BuiltIn__FilterDatabase" localSheetId="3">Module1!$A$8:$H$16</definedName>
    <definedName name="Excel_BuiltIn__FilterDatabase" localSheetId="4">Module2!$A$8:$H$16</definedName>
    <definedName name="_xlnm.Print_Area" localSheetId="1">TestDesign!$A$1:$F$15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18" i="5" l="1"/>
  <c r="A17" i="5"/>
  <c r="A16" i="5"/>
  <c r="A15" i="5"/>
  <c r="A14" i="5"/>
  <c r="A13" i="5"/>
  <c r="A12" i="5"/>
  <c r="A11" i="5"/>
  <c r="A10" i="5"/>
  <c r="C5" i="7"/>
  <c r="F12" i="7"/>
  <c r="G12" i="7"/>
  <c r="C6" i="1"/>
  <c r="C12" i="7"/>
  <c r="C11" i="7"/>
  <c r="C10" i="7"/>
  <c r="A30" i="6"/>
  <c r="A29" i="6"/>
  <c r="A28" i="6"/>
  <c r="A27" i="6"/>
  <c r="A26" i="6"/>
  <c r="A24" i="6"/>
  <c r="A23" i="6"/>
  <c r="A22" i="6"/>
  <c r="A21" i="6"/>
  <c r="A20" i="6"/>
  <c r="A18" i="6"/>
  <c r="A17" i="6"/>
  <c r="A16" i="6"/>
  <c r="A14" i="6"/>
  <c r="A13" i="6"/>
  <c r="A12" i="6"/>
  <c r="A11" i="6"/>
  <c r="A10" i="6"/>
  <c r="E6" i="6"/>
  <c r="H12" i="7" s="1"/>
  <c r="D6" i="6"/>
  <c r="B6" i="6"/>
  <c r="E12" i="7" s="1"/>
  <c r="A6" i="6"/>
  <c r="D12" i="7" s="1"/>
  <c r="E6" i="5"/>
  <c r="H11" i="7" s="1"/>
  <c r="D6" i="5"/>
  <c r="G11" i="7" s="1"/>
  <c r="B6" i="5"/>
  <c r="E11" i="7" s="1"/>
  <c r="A6" i="5"/>
  <c r="D11" i="7" s="1"/>
  <c r="A21" i="4"/>
  <c r="A20" i="4"/>
  <c r="A19" i="4"/>
  <c r="A18" i="4"/>
  <c r="A17" i="4"/>
  <c r="A16" i="4"/>
  <c r="A14" i="4"/>
  <c r="A13" i="4"/>
  <c r="A12" i="4"/>
  <c r="A11" i="4"/>
  <c r="A10" i="4"/>
  <c r="E6" i="4"/>
  <c r="H10" i="7" s="1"/>
  <c r="D6" i="4"/>
  <c r="G10" i="7" s="1"/>
  <c r="B6" i="4"/>
  <c r="E10" i="7" s="1"/>
  <c r="A6" i="4"/>
  <c r="D10" i="7" s="1"/>
  <c r="D4" i="3"/>
  <c r="D3" i="3"/>
  <c r="F6" i="5" l="1"/>
  <c r="F6" i="6"/>
  <c r="I12" i="7" s="1"/>
  <c r="H13" i="7"/>
  <c r="D13" i="7"/>
  <c r="E13" i="7"/>
  <c r="G13" i="7"/>
  <c r="F6" i="4"/>
  <c r="C6" i="4" s="1"/>
  <c r="F10" i="7" s="1"/>
  <c r="I11" i="7" l="1"/>
  <c r="C6" i="5"/>
  <c r="F11" i="7" s="1"/>
  <c r="F13" i="7" s="1"/>
  <c r="C6" i="6"/>
  <c r="E16" i="7"/>
  <c r="I10" i="7"/>
  <c r="I13" i="7" l="1"/>
  <c r="E15"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E11" authorId="0" shapeId="0" xr:uid="{00000000-0006-0000-0000-000001000000}">
      <text>
        <r>
          <rPr>
            <sz val="10"/>
            <rFont val="Arial"/>
            <family val="2"/>
          </rPr>
          <t xml:space="preserve">*A: Add
  M: Modify
  D: Delete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1" authorId="0" shapeId="0" xr:uid="{00000000-0006-0000-0100-000001000000}">
      <text>
        <r>
          <rPr>
            <sz val="10"/>
            <rFont val="Arial"/>
            <family val="2"/>
          </rPr>
          <t>Tran Thi Lanh:
It does not required to have 3 requirement levels. It depends on your decentralization.</t>
        </r>
      </text>
    </comment>
    <comment ref="D1" authorId="0" shapeId="0" xr:uid="{00000000-0006-0000-0100-000002000000}">
      <text>
        <r>
          <rPr>
            <sz val="10"/>
            <rFont val="Arial"/>
            <family val="2"/>
          </rPr>
          <t>Tran Thi Lanh:
Brief description about the case you'll check</t>
        </r>
      </text>
    </comment>
    <comment ref="E1" authorId="0" shapeId="0" xr:uid="{00000000-0006-0000-0100-000003000000}">
      <text>
        <r>
          <rPr>
            <sz val="10"/>
            <rFont val="Arial"/>
            <family val="2"/>
          </rPr>
          <t>Tran Thi Lanh:
GUI
Function
Non-function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8" authorId="0" shapeId="0" xr:uid="{00000000-0006-0000-0300-000001000000}">
      <text>
        <r>
          <rPr>
            <sz val="10"/>
            <rFont val="Arial"/>
            <family val="2"/>
          </rPr>
          <t xml:space="preserve">Pass
Fail
Untested
N/A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8" authorId="0" shapeId="0" xr:uid="{00000000-0006-0000-0400-000001000000}">
      <text>
        <r>
          <rPr>
            <sz val="10"/>
            <rFont val="Arial"/>
            <family val="2"/>
          </rPr>
          <t xml:space="preserve">Pass
Fail
Untested
N/A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8" authorId="0" shapeId="0" xr:uid="{00000000-0006-0000-0500-000001000000}">
      <text>
        <r>
          <rPr>
            <sz val="10"/>
            <rFont val="Arial"/>
            <family val="2"/>
          </rPr>
          <t xml:space="preserve">Pass
Fail
Untested
N/A
</t>
        </r>
      </text>
    </comment>
  </commentList>
</comments>
</file>

<file path=xl/sharedStrings.xml><?xml version="1.0" encoding="utf-8"?>
<sst xmlns="http://schemas.openxmlformats.org/spreadsheetml/2006/main" count="471" uniqueCount="226">
  <si>
    <t>TEST CASE</t>
  </si>
  <si>
    <t>Project Name</t>
  </si>
  <si>
    <t>Dò vé số</t>
  </si>
  <si>
    <t>Creator</t>
  </si>
  <si>
    <t>Project Code</t>
  </si>
  <si>
    <t>DucNVFX14814</t>
  </si>
  <si>
    <t>Reviewer/Approver</t>
  </si>
  <si>
    <t>Document Code</t>
  </si>
  <si>
    <t>27/09/2026</t>
  </si>
  <si>
    <t>1.0</t>
  </si>
  <si>
    <t>Record of change</t>
  </si>
  <si>
    <t>Effective Date</t>
  </si>
  <si>
    <t>Version</t>
  </si>
  <si>
    <t>Change Item</t>
  </si>
  <si>
    <t>*A,D,M</t>
  </si>
  <si>
    <t>Change description</t>
  </si>
  <si>
    <t>Reference</t>
  </si>
  <si>
    <t>Khởi tạo</t>
  </si>
  <si>
    <t>A</t>
  </si>
  <si>
    <t>Tạo mới Test Case cho CN1 - Quản lý người dùng (ADMIN/NO_USER/USER)</t>
  </si>
  <si>
    <t>Requirement Level 1</t>
  </si>
  <si>
    <t>Requirement Level 2</t>
  </si>
  <si>
    <t>Requirement Level 3</t>
  </si>
  <si>
    <t>Test Criteria</t>
  </si>
  <si>
    <t>Test Type</t>
  </si>
  <si>
    <t>Note</t>
  </si>
  <si>
    <t>CN1 - Quản lý người dùng</t>
  </si>
  <si>
    <t>Giao diện</t>
  </si>
  <si>
    <t>Check layout màn hình Đăng ký, các trường bắt buộc có dấu (*)</t>
  </si>
  <si>
    <t>GUI</t>
  </si>
  <si>
    <t>Thành công</t>
  </si>
  <si>
    <t>Đăng ký với Họ tên/Email/SĐT/Mật khẩu hợp lệ</t>
  </si>
  <si>
    <t>Function</t>
  </si>
  <si>
    <t>ROLE mặc định USER</t>
  </si>
  <si>
    <t>Không thành công</t>
  </si>
  <si>
    <t>Email sai định dạng</t>
  </si>
  <si>
    <t>Email đã tồn tại trong hệ thống</t>
  </si>
  <si>
    <t>email của user khác</t>
  </si>
  <si>
    <t>Số điện thoại đã tồn tại trong hệ thống</t>
  </si>
  <si>
    <t>sdt của user khác</t>
  </si>
  <si>
    <t>Mật khẩu ít hơn 6 ký tự</t>
  </si>
  <si>
    <t>Xác nhận mật khẩu không khớp</t>
  </si>
  <si>
    <t>Đăng nhập đúng Email/Mật khẩu, ROLE USER</t>
  </si>
  <si>
    <t>Đăng nhập đúng Email/Mật khẩu, ROLE ADMIN</t>
  </si>
  <si>
    <t>Sai mật khẩu</t>
  </si>
  <si>
    <t>Email không tồn tại</t>
  </si>
  <si>
    <t>Tài khoản đang bị khóa (active=false)</t>
  </si>
  <si>
    <t>Quên mật khẩu / Đặt lại mật khẩu</t>
  </si>
  <si>
    <t>Quên mật khẩu</t>
  </si>
  <si>
    <t>Email tồn tại và đang hoạt động</t>
  </si>
  <si>
    <t>gửi email qua Gmail SMTP, hiệu lực 30 phút</t>
  </si>
  <si>
    <t>Email không tồn tại trong hệ thống</t>
  </si>
  <si>
    <t>vẫn hiển thị thông báo chung, tránh lộ thông tin</t>
  </si>
  <si>
    <t>Đặt lại mật khẩu</t>
  </si>
  <si>
    <t>Token hợp lệ, mật khẩu mới hợp lệ</t>
  </si>
  <si>
    <t>Token hết hạn hoặc không hợp lệ</t>
  </si>
  <si>
    <t>Mật khẩu mới ít hơn 6 ký tự</t>
  </si>
  <si>
    <t>Dùng lại token đã sử dụng</t>
  </si>
  <si>
    <t>token chỉ dùng được 1 lần</t>
  </si>
  <si>
    <t>Đổi mật khẩu với dữ liệu hợp lệ</t>
  </si>
  <si>
    <t>Sai mật khẩu hiện tại</t>
  </si>
  <si>
    <t>Xác nhận mật khẩu mới không khớp</t>
  </si>
  <si>
    <t>Mật khẩu mới trùng mật khẩu hiện tại</t>
  </si>
  <si>
    <t>Tìm kiếm / phân trang</t>
  </si>
  <si>
    <t>Xem danh sách người dùng mặc định</t>
  </si>
  <si>
    <t>Tìm theo id/họ tên/email/sdt</t>
  </si>
  <si>
    <t>Lọc theo thời gian đăng nhập (vd: chưa từng đăng nhập)</t>
  </si>
  <si>
    <t>Phân trang khi tổng số người dùng &gt; 20</t>
  </si>
  <si>
    <t>Cấp quyền / khóa-mở khóa</t>
  </si>
  <si>
    <t>ADMIN chính cấp quyền ADMIN cho 1 user đang active</t>
  </si>
  <si>
    <t>ADMIN thường cố gán quyền ADMIN cho người khác</t>
  </si>
  <si>
    <t>Khóa một tài khoản USER đang active</t>
  </si>
  <si>
    <t>Cố khóa hoặc hạ quyền một tài khoản đang là ADMIN</t>
  </si>
  <si>
    <t>Đổi ROLE của một tài khoản đang bị khóa mà chưa mở khóa</t>
  </si>
  <si>
    <t>TEST CASE LIST</t>
  </si>
  <si>
    <t>Test Environment Setup Description</t>
  </si>
  <si>
    <t>1. Web server: Apache Tomcat 9
2. Database: MySQL 8
3. Web Browser: Chrome/Edge mới nhất
4. Cấu hình gửi mail thật qua Gmail SMTP (mail.properties)</t>
  </si>
  <si>
    <t>No</t>
  </si>
  <si>
    <t>Function Name</t>
  </si>
  <si>
    <t>Sheet Name</t>
  </si>
  <si>
    <t>Description</t>
  </si>
  <si>
    <t>Pre-Condition</t>
  </si>
  <si>
    <t>Quản lý người dùng - Tìm kiếm &amp; danh sách</t>
  </si>
  <si>
    <t>Module1</t>
  </si>
  <si>
    <t>Quản lý người dùng - Cấp quyền &amp; khóa/mở khóa</t>
  </si>
  <si>
    <t>Đăng ký tài khoản</t>
  </si>
  <si>
    <t>Module2</t>
  </si>
  <si>
    <t>Đăng nhập</t>
  </si>
  <si>
    <t>Module3</t>
  </si>
  <si>
    <t>Đổi mật khẩu</t>
  </si>
  <si>
    <t>Module Code</t>
  </si>
  <si>
    <t>Passed</t>
  </si>
  <si>
    <t>Test requirement</t>
  </si>
  <si>
    <t>Yêu cầu 1 (ADMIN): Quản lý người dùng - tìm kiếm/phân trang, cấp quyền, khóa/mở khóa.</t>
  </si>
  <si>
    <t>Failed</t>
  </si>
  <si>
    <t>Tester</t>
  </si>
  <si>
    <t>Blocked</t>
  </si>
  <si>
    <t>Untested</t>
  </si>
  <si>
    <t>Skipped</t>
  </si>
  <si>
    <t>Number of Test cases</t>
  </si>
  <si>
    <t>ID</t>
  </si>
  <si>
    <t>Test Case Description</t>
  </si>
  <si>
    <t>Test Case Procedure</t>
  </si>
  <si>
    <t>Expected Output</t>
  </si>
  <si>
    <t>Inter-test case Dependence</t>
  </si>
  <si>
    <t>Result</t>
  </si>
  <si>
    <t>Test date</t>
  </si>
  <si>
    <t>1. Đăng nhập với tài khoản ADMIN.
2. Vào menu Quản lý người dùng.</t>
  </si>
  <si>
    <t>Hiển thị danh sách người dùng (tối đa 20 dòng/trang) với đủ cột: User ID, Họ tên, Email, SĐT, Đăng nhập gần nhất, ROLE, Trạng thái.</t>
  </si>
  <si>
    <t>Tìm kiếm theo từ khóa (email) hợp lệ</t>
  </si>
  <si>
    <t>Tìm kiếm không có kết quả</t>
  </si>
  <si>
    <t>1. Nhập từ khóa không khớp bất kỳ người dùng nào.
2. Bấm "Tìm kiếm".</t>
  </si>
  <si>
    <t>Hiển thị "Không tìm thấy người dùng phù hợp."</t>
  </si>
  <si>
    <t>Lọc "Chưa từng đăng nhập"</t>
  </si>
  <si>
    <t>1. Chọn bộ lọc "Chưa từng đăng nhập".
2. Bấm "Tìm kiếm".</t>
  </si>
  <si>
    <t>1. Đảm bảo hệ thống có &gt; 20 người dùng.
2. Vào menu Quản lý người dùng.</t>
  </si>
  <si>
    <t>Danh sách hiển thị tối đa 20 dòng/trang, có thanh phân trang để xem các trang tiếp theo.</t>
  </si>
  <si>
    <t>CSDL cần có &gt; 20 user</t>
  </si>
  <si>
    <t>1. Đăng nhập bằng tài khoản ADMIN chính (id=10000000).
2. Đổi ROLE của 1 user đang active sang ADMIN.
3. Bấm "Lưu thay đổi" và xác nhận.</t>
  </si>
  <si>
    <t>Lưu thành công, ROLE của user đổi thành ADMIN.</t>
  </si>
  <si>
    <t>User đích đang ở trạng thái active</t>
  </si>
  <si>
    <t>1. Đăng nhập bằng tài khoản ADMIN không phải ADMIN chính.
2. Đổi ROLE của 1 user sang ADMIN.
3. Bấm "Lưu thay đổi".</t>
  </si>
  <si>
    <t>1. Đăng nhập ADMIN.
2. Đổi Trạng thái của 1 user USER sang "Đã khóa".
3. Bấm "Lưu thay đổi" và xác nhận.</t>
  </si>
  <si>
    <t>Lưu thành công, trạng thái user chuyển "Đã khóa"; user đó không đăng nhập được nữa.</t>
  </si>
  <si>
    <t>1. Đăng nhập ADMIN.
2. Với 1 dòng đang có ROLE=ADMIN, đổi Trạng thái sang "Đã khóa" (hoặc đổi ROLE sang USER nếu có thể).
3. Bấm "Lưu thay đổi".</t>
  </si>
  <si>
    <t>Có sẵn 1 tài khoản ROLE=ADMIN khác ADMIN chính</t>
  </si>
  <si>
    <t>1. Đăng nhập ADMIN.
2. Với 1 user đang "Đã khóa", đổi ROLE (giữ nguyên Trạng thái là Đã khóa).
3. Bấm "Lưu thay đổi".</t>
  </si>
  <si>
    <t>Có sẵn 1 user đang ở trạng thái Đã khóa</t>
  </si>
  <si>
    <t>Bấm "Lưu thay đổi" khi chưa sửa gì</t>
  </si>
  <si>
    <t>1. Đăng nhập ADMIN, vào Quản lý người dùng.
2. Không sửa gì, bấm "Lưu thay đổi".</t>
  </si>
  <si>
    <t>Hiển thị cảnh báo "Không có thay đổi nào để lưu.", không gửi request lưu.</t>
  </si>
  <si>
    <t>Yêu cầu 2 (NO_USER): Đăng ký tài khoản mới, ROLE mặc định USER.</t>
  </si>
  <si>
    <t>Đăng ký với dữ liệu hợp lệ</t>
  </si>
  <si>
    <t>Đăng ký thành công, chuyển sang màn Đăng nhập với thông báo "Đăng ký thành công! Vui lòng đăng nhập."</t>
  </si>
  <si>
    <t>Họ tên sai định dạng</t>
  </si>
  <si>
    <t>1. Nhập Họ tên chứa số/ký tự đặc biệt hoặc &lt; 2 ký tự.
2. Điền các trường còn lại hợp lệ.
3. Bấm "Đăng ký".</t>
  </si>
  <si>
    <t>Hiển thị lỗi "Họ và tên không hợp lệ (2-150 ký tự, chỉ gồm chữ cái và khoảng trắng)."</t>
  </si>
  <si>
    <t>1. Nhập Email không đúng định dạng (vd: abc@).
2. Điền các trường còn lại hợp lệ.
3. Bấm "Đăng ký".</t>
  </si>
  <si>
    <t>Hiển thị lỗi "Email không đúng định dạng."</t>
  </si>
  <si>
    <t>Email đã tồn tại</t>
  </si>
  <si>
    <t>1. Nhập Email của 1 tài khoản đã đăng ký trước đó.
2. Điền các trường còn lại hợp lệ.
3. Bấm "Đăng ký".</t>
  </si>
  <si>
    <t>Hiển thị lỗi "Email đã được sử dụng."</t>
  </si>
  <si>
    <t>Cần có sẵn 1 tài khoản với email biết trước</t>
  </si>
  <si>
    <t>Số điện thoại sai định dạng</t>
  </si>
  <si>
    <t>1. Nhập SĐT không bắt đầu bằng 0 hoặc không đủ 10 chữ số.
2. Điền các trường còn lại hợp lệ.
3. Bấm "Đăng ký".</t>
  </si>
  <si>
    <t>Hiển thị lỗi "Số điện thoại phải bắt đầu bằng số 0 và có đúng 10 chữ số."</t>
  </si>
  <si>
    <t>Số điện thoại đã tồn tại</t>
  </si>
  <si>
    <t>1. Nhập SĐT của 1 tài khoản đã đăng ký trước đó.
2. Điền các trường còn lại hợp lệ.
3. Bấm "Đăng ký".</t>
  </si>
  <si>
    <t>Hiển thị lỗi "Số điện thoại đã được sử dụng."</t>
  </si>
  <si>
    <t>Cần có sẵn 1 tài khoản với SĐT biết trước</t>
  </si>
  <si>
    <t>1. Nhập Mật khẩu &lt; 6 ký tự.
2. Điền các trường còn lại hợp lệ.
3. Bấm "Đăng ký".</t>
  </si>
  <si>
    <t>Hiển thị lỗi "Mật khẩu phải có ít nhất 6 ký tự."</t>
  </si>
  <si>
    <t>1. Nhập Mật khẩu và Xác nhận mật khẩu khác nhau.
2. Điền các trường còn lại hợp lệ.
3. Bấm "Đăng ký".</t>
  </si>
  <si>
    <t>Hiển thị lỗi "Mật khẩu xác nhận không khớp."</t>
  </si>
  <si>
    <t>Yêu cầu 3 (USER): Đăng nhập, Quên/Đặt lại mật khẩu, Đổi mật khẩu.</t>
  </si>
  <si>
    <t>Đăng nhập thành công, tạo session, chuyển hướng về trang chủ.</t>
  </si>
  <si>
    <t>Cần có sẵn 1 tài khoản ROLE=USER</t>
  </si>
  <si>
    <t>Cần có sẵn 1 tài khoản ROLE=ADMIN</t>
  </si>
  <si>
    <t>1. Nhập đúng Email, sai Mật khẩu.
2. Bấm "Đăng nhập".</t>
  </si>
  <si>
    <t>Hiển thị lỗi "Sai tên đăng nhập hoặc mật khẩu."</t>
  </si>
  <si>
    <t>1. Nhập Email chưa từng đăng ký.
2. Bấm "Đăng nhập".</t>
  </si>
  <si>
    <t>Tài khoản đang bị khóa</t>
  </si>
  <si>
    <t>1. Nhập đúng Email/Mật khẩu của 1 tài khoản đang ở trạng thái "Đã khóa".
2. Bấm "Đăng nhập".</t>
  </si>
  <si>
    <t>Hiển thị lỗi "Tài khoản của bạn đã bị khóa, vui lòng liên hệ quản trị viên."</t>
  </si>
  <si>
    <t>Hiển thị thông báo chung "Nếu email tồn tại trong hệ thống, chúng tôi đã gửi hướng dẫn đặt lại mật khẩu..."; hộp thư nhận được email chứa liên kết đặt lại mật khẩu (hiệu lực 30 phút).</t>
  </si>
  <si>
    <t>Cần cấu hình đúng Gmail SMTP trong mail.properties</t>
  </si>
  <si>
    <t>1. Nhập email chưa từng đăng ký.
2. Bấm "Gửi yêu cầu".</t>
  </si>
  <si>
    <t>Vẫn hiển thị cùng thông báo chung như trường hợp email tồn tại (không tiết lộ email có tồn tại hay không); không có email nào được gửi.</t>
  </si>
  <si>
    <t>1. Nhập chuỗi không đúng định dạng email.
2. Bấm "Gửi yêu cầu".</t>
  </si>
  <si>
    <t>Hiển thị lỗi "Email không hợp lệ."</t>
  </si>
  <si>
    <t>1. Mở liên kết đặt lại mật khẩu nhận được qua email (còn hiệu lực).
2. Nhập Mật khẩu mới và Xác nhận mật khẩu hợp lệ, giống nhau.
3. Bấm "Đặt lại mật khẩu".</t>
  </si>
  <si>
    <t>Đặt lại mật khẩu thành công, chuyển sang màn Đăng nhập với thông báo "Đặt lại mật khẩu thành công! Vui lòng đăng nhập."; đăng nhập được bằng mật khẩu mới.</t>
  </si>
  <si>
    <t>Cần có token hợp lệ từ bước Quên mật khẩu</t>
  </si>
  <si>
    <t>Hiển thị "Liên kết đặt lại mật khẩu không hợp lệ hoặc đã hết hạn." và nút "Yêu cầu liên kết mới".</t>
  </si>
  <si>
    <t>1. Mở liên kết hợp lệ.
2. Nhập Mật khẩu mới &lt; 6 ký tự.
3. Bấm "Đặt lại mật khẩu".</t>
  </si>
  <si>
    <t>1. Mở liên kết hợp lệ.
2. Nhập Mật khẩu mới và Xác nhận mật khẩu khác nhau.
3. Bấm "Đặt lại mật khẩu".</t>
  </si>
  <si>
    <t>1. Dùng 1 liên kết đặt lại mật khẩu đã đặt lại thành công trước đó.
2. Mở lại liên kết và thử đặt mật khẩu lần nữa.</t>
  </si>
  <si>
    <t>Hiển thị "Liên kết đặt lại mật khẩu không hợp lệ hoặc đã hết hạn." (token chỉ dùng được 1 lần).</t>
  </si>
  <si>
    <t>Cần 1 token đã được sử dụng thành công trước đó</t>
  </si>
  <si>
    <t>1. Đăng nhập (USER hoặc ADMIN).
2. Vào Đổi mật khẩu.
3. Nhập đúng Mật khẩu hiện tại; Mật khẩu mới/Xác nhận hợp lệ, khác mật khẩu hiện tại.
4. Bấm "Lưu".</t>
  </si>
  <si>
    <t>1. Đăng nhập, vào Đổi mật khẩu.
2. Nhập sai Mật khẩu hiện tại.
3. Bấm "Lưu".</t>
  </si>
  <si>
    <t>Hiển thị lỗi "Mật khẩu hiện tại không đúng"</t>
  </si>
  <si>
    <t>1. Nhập đúng Mật khẩu hiện tại.
2. Nhập Mật khẩu mới &lt; 6 ký tự.
3. Bấm "Lưu".</t>
  </si>
  <si>
    <t>Hiển thị lỗi "Mật khẩu mới phải có ít nhất 6 ký tự."</t>
  </si>
  <si>
    <t>1. Nhập đúng Mật khẩu hiện tại, Mật khẩu mới hợp lệ.
2. Xác nhận mật khẩu khác Mật khẩu mới.
3. Bấm "Lưu".</t>
  </si>
  <si>
    <t>1. Nhập đúng Mật khẩu hiện tại.
2. Nhập Mật khẩu mới giống hệt Mật khẩu hiện tại.
3. Bấm "Lưu".</t>
  </si>
  <si>
    <t>Hiển thị lỗi "Mật khẩu mới phải khác mật khẩu hiện tại."</t>
  </si>
  <si>
    <t>TEST REPORT</t>
  </si>
  <si>
    <t>Issue Date</t>
  </si>
  <si>
    <t>Notes</t>
  </si>
  <si>
    <t>Module code</t>
  </si>
  <si>
    <t>Pass</t>
  </si>
  <si>
    <t>Fail</t>
  </si>
  <si>
    <t>Number of  test cases</t>
  </si>
  <si>
    <t>Sub total</t>
  </si>
  <si>
    <t>Test coverage</t>
  </si>
  <si>
    <t>%</t>
  </si>
  <si>
    <t>Test successful coverage</t>
  </si>
  <si>
    <t>Lab301x</t>
  </si>
  <si>
    <t>V1.0</t>
  </si>
  <si>
    <t>DucNVFX14814_SRS, DucNVFX14814_Screen_Design</t>
  </si>
  <si>
    <t>Quản lý người dùng</t>
  </si>
  <si>
    <t>chuyển hướng tới trang Dò vé số</t>
  </si>
  <si>
    <t>chuyển hướng tới trang của Admin</t>
  </si>
  <si>
    <t>Chặn không cho đăng nhập, thông báo tài khoản bị khóa</t>
  </si>
  <si>
    <t>không thể thao tác</t>
  </si>
  <si>
    <t>Chỉ hiển thị (các) người dùng có email khớp từ khóa. Tìm theo id sẽ tìm chính xác, còn lại chỉ cần tìm dữ liệu có chứa từ khóa</t>
  </si>
  <si>
    <t>1. Nhập từ khóa vào ô tìm kiếm.
2. Bấm "Tìm kiếm".</t>
  </si>
  <si>
    <t>Chỉ hiển thị người dùng chưa từng đăng nhập</t>
  </si>
  <si>
    <t>Không thể thao tác set role thành ADMIN</t>
  </si>
  <si>
    <t>Không thể thao tác khi dòng đó có role ADMIN</t>
  </si>
  <si>
    <t>Không thể thao tác, chỉ có thể  thao tác khi trạng thái user là Đã kích hoạt</t>
  </si>
  <si>
    <t>1. Vào trang Đăng Nhập
2. Nhập đúng Email/Mật khẩu của 1 tài khoản ROLE=USER.
3. Bấm "Đăng nhập".</t>
  </si>
  <si>
    <t>1. Vào trang Đăng Nhập
2. Nhập đúng Email/Mật khẩu của 1 tài khoản ROLE=ADMIN.
3. Bấm "Đăng nhập".</t>
  </si>
  <si>
    <t>Đăng nhập thành công, chuyển hướng tới màn hình Admin (khác với luồng USER).</t>
  </si>
  <si>
    <t>Cần có sẵn 1 tài khoản đang bị khóa</t>
  </si>
  <si>
    <t>1. Vào trang Đăng Nhập -&gt; Quên mật khẩu
2. Nhập email của 1 tài khoản đang active.
3. Bấm "Gửi yêu cầu".</t>
  </si>
  <si>
    <t>1. Mở liên kết đặt lại mật khẩu nhận được qua email với token đã hết hạn (quá 30 phút).</t>
  </si>
  <si>
    <t>Cần có token hợp lệ từ bước Quên mật khẩu, đã quá 30 phút</t>
  </si>
  <si>
    <t>Hiển thị "Đổi mật khẩu thành công"</t>
  </si>
  <si>
    <t>ToanHK(Mentor)</t>
  </si>
  <si>
    <t>Release 1 gồm 3 module: Module1 (ADMIN - Quản lý người dùng), Module2 (NO_USER - Đăng ký), Module3 (USER - Đăng nhập, mật khẩu)</t>
  </si>
  <si>
    <t>Giao diện màn hình Đăng ký</t>
  </si>
  <si>
    <t>1. Vào Đăng ký.
2. Nhập Họ tên, Email, SĐT, Mật khẩu, Xác nhận mật khẩu hợp lệ và chưa tồn tại.
3. Bấm "Đăng ký".</t>
  </si>
  <si>
    <t>1. Vào Đăng ký.
2. Kiểm tra các trường.</t>
  </si>
  <si>
    <t>Các trường bắt buộc có dấu *, bố cục đúngnhư  mô tả.</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</si>
</sst>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mm\-yy;@"/>
    <numFmt numFmtId="165" formatCode="[$-409]d\-mmm\-yy"/>
  </numFmts>
  <fonts count="31">
    <font>
      <sz val="11"/>
      <name val="ＭＳ Ｐゴシック"/>
      <charset val="128"/>
    </font>
    <font>
      <sz val="11"/>
      <color rgb="FF000000"/>
      <name val="Calibri"/>
      <family val="2"/>
      <charset val="163"/>
    </font>
    <font>
      <sz val="11"/>
      <color rgb="FF000000"/>
      <name val="Calibri"/>
      <family val="3"/>
      <charset val="128"/>
    </font>
    <font>
      <sz val="9"/>
      <name val="ＭＳ ゴシック"/>
      <family val="3"/>
      <charset val="128"/>
    </font>
    <font>
      <sz val="10"/>
      <name val="Tahoma"/>
      <family val="2"/>
      <charset val="1"/>
    </font>
    <font>
      <b/>
      <sz val="20"/>
      <color rgb="FF000000"/>
      <name val="Tahoma"/>
      <family val="2"/>
      <charset val="1"/>
    </font>
    <font>
      <b/>
      <sz val="10"/>
      <color rgb="FF993300"/>
      <name val="Tahoma"/>
      <family val="2"/>
      <charset val="1"/>
    </font>
    <font>
      <i/>
      <sz val="10"/>
      <color rgb="FF008000"/>
      <name val="Tahoma"/>
      <family val="2"/>
      <charset val="1"/>
    </font>
    <font>
      <sz val="10"/>
      <name val="Arial"/>
      <family val="2"/>
    </font>
    <font>
      <b/>
      <sz val="10"/>
      <color rgb="FF000000"/>
      <name val="Tahoma"/>
      <family val="2"/>
      <charset val="1"/>
    </font>
    <font>
      <b/>
      <sz val="10"/>
      <color rgb="FFFF0000"/>
      <name val="Tahoma"/>
      <family val="2"/>
      <charset val="1"/>
    </font>
    <font>
      <b/>
      <sz val="10"/>
      <name val="Tahoma"/>
      <family val="2"/>
      <charset val="1"/>
    </font>
    <font>
      <sz val="10"/>
      <color rgb="FFFF0000"/>
      <name val="Tahoma"/>
      <family val="2"/>
      <charset val="1"/>
    </font>
    <font>
      <sz val="10"/>
      <color rgb="FF000000"/>
      <name val="Tahoma"/>
      <family val="2"/>
      <charset val="1"/>
    </font>
    <font>
      <sz val="8"/>
      <name val="ＭＳ Ｐゴシック"/>
      <charset val="128"/>
    </font>
    <font>
      <b/>
      <sz val="10"/>
      <color rgb="FFFFFFFF"/>
      <name val="Times New Roman"/>
      <family val="1"/>
    </font>
    <font>
      <b/>
      <sz val="10"/>
      <color rgb="FF000000"/>
      <name val="Times New Roman"/>
      <family val="1"/>
    </font>
    <font>
      <sz val="10"/>
      <color rgb="FF000000"/>
      <name val="Times New Roman"/>
      <family val="1"/>
    </font>
    <font>
      <sz val="11"/>
      <name val="Times New Roman"/>
      <family val="1"/>
    </font>
    <font>
      <b/>
      <sz val="22"/>
      <color rgb="FFFF0000"/>
      <name val="Times New Roman"/>
      <family val="1"/>
    </font>
    <font>
      <b/>
      <sz val="20"/>
      <color rgb="FF000000"/>
      <name val="Times New Roman"/>
      <family val="1"/>
    </font>
    <font>
      <sz val="10"/>
      <name val="Times New Roman"/>
      <family val="1"/>
    </font>
    <font>
      <b/>
      <sz val="10"/>
      <color rgb="FF993300"/>
      <name val="Times New Roman"/>
      <family val="1"/>
    </font>
    <font>
      <i/>
      <sz val="10"/>
      <color rgb="FF008000"/>
      <name val="Times New Roman"/>
      <family val="1"/>
    </font>
    <font>
      <b/>
      <sz val="10"/>
      <color indexed="60"/>
      <name val="Times New Roman"/>
      <family val="1"/>
    </font>
    <font>
      <u/>
      <sz val="10"/>
      <color rgb="FF0000FF"/>
      <name val="Times New Roman"/>
      <family val="1"/>
    </font>
    <font>
      <b/>
      <sz val="10"/>
      <name val="Times New Roman"/>
      <family val="1"/>
    </font>
    <font>
      <sz val="10"/>
      <color rgb="FFFF0000"/>
      <name val="Times New Roman"/>
      <family val="1"/>
    </font>
    <font>
      <b/>
      <sz val="10"/>
      <color rgb="FFFF0000"/>
      <name val="Times New Roman"/>
      <family val="1"/>
    </font>
    <font>
      <sz val="10"/>
      <color rgb="FFFFFFFF"/>
      <name val="Times New Roman"/>
      <family val="1"/>
    </font>
    <font>
      <b/>
      <sz val="10"/>
      <color rgb="FF0000FF"/>
      <name val="Times New Roman"/>
      <family val="1"/>
    </font>
  </fonts>
  <fills count="7">
    <fill>
      <patternFill patternType="none"/>
    </fill>
    <fill>
      <patternFill patternType="gray125"/>
    </fill>
    <fill>
      <patternFill patternType="solid">
        <fgColor rgb="FFFFFFFF"/>
        <bgColor rgb="FFFFFFCC"/>
      </patternFill>
    </fill>
    <fill>
      <patternFill patternType="solid">
        <fgColor rgb="FF000080"/>
        <bgColor rgb="FF000080"/>
      </patternFill>
    </fill>
    <fill>
      <patternFill patternType="solid">
        <fgColor rgb="FF333399"/>
        <bgColor rgb="FF003366"/>
      </patternFill>
    </fill>
    <fill>
      <patternFill patternType="solid">
        <fgColor indexed="9"/>
        <bgColor indexed="26"/>
      </patternFill>
    </fill>
    <fill>
      <patternFill patternType="solid">
        <fgColor rgb="FFFFFF00"/>
        <bgColor rgb="FFFFFFCC"/>
      </patternFill>
    </fill>
  </fills>
  <borders count="2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thin">
        <color auto="1"/>
      </left>
      <right/>
      <top style="thin">
        <color auto="1"/>
      </top>
      <bottom style="thin">
        <color auto="1"/>
      </bottom>
      <diagonal/>
    </border>
    <border>
      <left style="hair">
        <color auto="1"/>
      </left>
      <right/>
      <top style="thin">
        <color auto="1"/>
      </top>
      <bottom style="hair">
        <color auto="1"/>
      </bottom>
      <diagonal/>
    </border>
    <border>
      <left/>
      <right/>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style="hair">
        <color auto="1"/>
      </left>
      <right style="medium">
        <color auto="1"/>
      </right>
      <top style="thin">
        <color auto="1"/>
      </top>
      <bottom style="hair">
        <color auto="1"/>
      </bottom>
      <diagonal/>
    </border>
    <border>
      <left style="hair">
        <color auto="1"/>
      </left>
      <right style="medium">
        <color auto="1"/>
      </right>
      <top style="hair">
        <color auto="1"/>
      </top>
      <bottom style="thin">
        <color auto="1"/>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64"/>
      </left>
      <right style="hair">
        <color auto="1"/>
      </right>
      <top style="thin">
        <color indexed="64"/>
      </top>
      <bottom style="hair">
        <color auto="1"/>
      </bottom>
      <diagonal/>
    </border>
    <border>
      <left style="hair">
        <color auto="1"/>
      </left>
      <right style="hair">
        <color auto="1"/>
      </right>
      <top style="thin">
        <color indexed="64"/>
      </top>
      <bottom style="hair">
        <color auto="1"/>
      </bottom>
      <diagonal/>
    </border>
    <border>
      <left style="hair">
        <color auto="1"/>
      </left>
      <right style="thin">
        <color indexed="64"/>
      </right>
      <top style="thin">
        <color indexed="64"/>
      </top>
      <bottom style="hair">
        <color auto="1"/>
      </bottom>
      <diagonal/>
    </border>
  </borders>
  <cellStyleXfs count="4">
    <xf numFmtId="0" fontId="0" fillId="0" borderId="0"/>
    <xf numFmtId="0" fontId="1" fillId="0" borderId="0"/>
    <xf numFmtId="0" fontId="2" fillId="0" borderId="0"/>
    <xf numFmtId="0" fontId="3" fillId="0" borderId="0"/>
  </cellStyleXfs>
  <cellXfs count="172">
    <xf numFmtId="0" fontId="0" fillId="0" borderId="0" xfId="0"/>
    <xf numFmtId="0" fontId="13"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4" fillId="2" borderId="0" xfId="0" applyFont="1" applyFill="1"/>
    <xf numFmtId="1" fontId="4" fillId="2" borderId="0" xfId="0" applyNumberFormat="1" applyFont="1" applyFill="1"/>
    <xf numFmtId="0" fontId="4" fillId="2" borderId="0" xfId="0" applyFont="1" applyFill="1" applyAlignment="1">
      <alignment horizontal="left"/>
    </xf>
    <xf numFmtId="1" fontId="4" fillId="2" borderId="0" xfId="0" applyNumberFormat="1" applyFont="1" applyFill="1" applyProtection="1">
      <protection hidden="1"/>
    </xf>
    <xf numFmtId="0" fontId="5" fillId="2" borderId="0" xfId="0" applyFont="1" applyFill="1" applyAlignment="1">
      <alignment horizontal="left"/>
    </xf>
    <xf numFmtId="0" fontId="9" fillId="2" borderId="0" xfId="0" applyFont="1" applyFill="1" applyAlignment="1">
      <alignment horizontal="left"/>
    </xf>
    <xf numFmtId="0" fontId="10" fillId="2" borderId="0" xfId="0" applyFont="1" applyFill="1" applyAlignment="1">
      <alignment horizontal="left"/>
    </xf>
    <xf numFmtId="0" fontId="4" fillId="2" borderId="0" xfId="0" applyFont="1" applyFill="1" applyAlignment="1">
      <alignment wrapText="1"/>
    </xf>
    <xf numFmtId="1" fontId="6" fillId="2" borderId="0" xfId="0" applyNumberFormat="1" applyFont="1" applyFill="1"/>
    <xf numFmtId="0" fontId="4" fillId="2" borderId="0" xfId="0" applyFont="1" applyFill="1" applyAlignment="1">
      <alignment vertical="center"/>
    </xf>
    <xf numFmtId="1" fontId="4" fillId="2" borderId="0" xfId="0" applyNumberFormat="1" applyFont="1" applyFill="1" applyAlignment="1" applyProtection="1">
      <alignment vertical="center"/>
      <protection hidden="1"/>
    </xf>
    <xf numFmtId="0" fontId="4" fillId="2" borderId="0" xfId="0" applyFont="1" applyFill="1" applyAlignment="1">
      <alignment horizontal="left" vertical="center"/>
    </xf>
    <xf numFmtId="0" fontId="11" fillId="2" borderId="0" xfId="0" applyFont="1" applyFill="1" applyAlignment="1">
      <alignment horizontal="center"/>
    </xf>
    <xf numFmtId="1" fontId="4" fillId="2" borderId="6" xfId="0" applyNumberFormat="1" applyFont="1" applyFill="1" applyBorder="1" applyAlignment="1">
      <alignment vertical="center"/>
    </xf>
    <xf numFmtId="49" fontId="4" fillId="2" borderId="7" xfId="0" applyNumberFormat="1" applyFont="1" applyFill="1" applyBorder="1" applyAlignment="1">
      <alignment horizontal="left" vertical="center"/>
    </xf>
    <xf numFmtId="0" fontId="4" fillId="2" borderId="8" xfId="0" applyFont="1" applyFill="1" applyBorder="1" applyAlignment="1">
      <alignment horizontal="left" vertical="center"/>
    </xf>
    <xf numFmtId="0" fontId="4" fillId="2" borderId="7" xfId="0" applyFont="1" applyFill="1" applyBorder="1" applyAlignment="1">
      <alignment horizontal="left" vertical="center"/>
    </xf>
    <xf numFmtId="1" fontId="4" fillId="2" borderId="9" xfId="0" applyNumberFormat="1" applyFont="1" applyFill="1" applyBorder="1" applyAlignment="1">
      <alignment vertical="center"/>
    </xf>
    <xf numFmtId="49" fontId="4" fillId="2" borderId="10" xfId="0" applyNumberFormat="1" applyFont="1" applyFill="1" applyBorder="1" applyAlignment="1">
      <alignment horizontal="left" vertical="center"/>
    </xf>
    <xf numFmtId="0" fontId="4" fillId="2" borderId="10" xfId="0" applyFont="1" applyFill="1" applyBorder="1" applyAlignment="1">
      <alignment horizontal="left" vertical="center"/>
    </xf>
    <xf numFmtId="0" fontId="4" fillId="2" borderId="11" xfId="0" applyFont="1" applyFill="1" applyBorder="1" applyAlignment="1">
      <alignment horizontal="left" vertical="center"/>
    </xf>
    <xf numFmtId="0" fontId="12" fillId="2" borderId="0" xfId="0" applyFont="1" applyFill="1"/>
    <xf numFmtId="0" fontId="13" fillId="2" borderId="14" xfId="0" applyFont="1" applyFill="1" applyBorder="1"/>
    <xf numFmtId="0" fontId="13" fillId="2" borderId="14" xfId="0" applyFont="1" applyFill="1" applyBorder="1" applyAlignment="1">
      <alignment wrapText="1"/>
    </xf>
    <xf numFmtId="0" fontId="4" fillId="2" borderId="14" xfId="0" applyFont="1" applyFill="1" applyBorder="1" applyAlignment="1">
      <alignment wrapText="1"/>
    </xf>
    <xf numFmtId="0" fontId="11" fillId="2" borderId="0" xfId="0" applyFont="1" applyFill="1" applyAlignment="1">
      <alignment wrapText="1"/>
    </xf>
    <xf numFmtId="0" fontId="12" fillId="2" borderId="0" xfId="0" applyFont="1" applyFill="1" applyAlignment="1">
      <alignment wrapText="1"/>
    </xf>
    <xf numFmtId="0" fontId="13" fillId="2" borderId="0" xfId="0" applyFont="1" applyFill="1"/>
    <xf numFmtId="0" fontId="11" fillId="2" borderId="15" xfId="0" applyFont="1" applyFill="1" applyBorder="1" applyAlignment="1">
      <alignment horizontal="left" wrapText="1"/>
    </xf>
    <xf numFmtId="0" fontId="11" fillId="2" borderId="16" xfId="0" applyFont="1" applyFill="1" applyBorder="1" applyAlignment="1">
      <alignment horizontal="left" wrapText="1"/>
    </xf>
    <xf numFmtId="0" fontId="9" fillId="2" borderId="16" xfId="0" applyFont="1" applyFill="1" applyBorder="1" applyAlignment="1">
      <alignment horizontal="center" vertical="center"/>
    </xf>
    <xf numFmtId="0" fontId="9" fillId="2" borderId="1" xfId="0" applyFont="1" applyFill="1" applyBorder="1" applyAlignment="1">
      <alignment vertical="center" wrapText="1"/>
    </xf>
    <xf numFmtId="0" fontId="12" fillId="2" borderId="0" xfId="0" applyFont="1" applyFill="1" applyAlignment="1">
      <alignment horizontal="center" wrapText="1"/>
    </xf>
    <xf numFmtId="0" fontId="13" fillId="2" borderId="17" xfId="0" applyFont="1" applyFill="1" applyBorder="1" applyAlignment="1">
      <alignment horizontal="center" vertical="center"/>
    </xf>
    <xf numFmtId="0" fontId="13" fillId="2" borderId="1" xfId="0" applyFont="1" applyFill="1" applyBorder="1" applyAlignment="1">
      <alignment horizontal="center" vertical="center"/>
    </xf>
    <xf numFmtId="0" fontId="13" fillId="2" borderId="1" xfId="0" applyFont="1" applyFill="1" applyBorder="1" applyAlignment="1">
      <alignment vertical="center" wrapText="1"/>
    </xf>
    <xf numFmtId="0" fontId="13" fillId="2" borderId="0" xfId="0" applyFont="1" applyFill="1" applyAlignment="1">
      <alignment horizontal="center" wrapText="1"/>
    </xf>
    <xf numFmtId="0" fontId="4" fillId="2" borderId="0" xfId="0" applyFont="1" applyFill="1" applyAlignment="1">
      <alignment horizontal="center" wrapText="1"/>
    </xf>
    <xf numFmtId="0" fontId="10" fillId="2" borderId="0" xfId="0" applyFont="1" applyFill="1" applyAlignment="1">
      <alignment horizontal="center" vertical="center" wrapText="1"/>
    </xf>
    <xf numFmtId="0" fontId="13" fillId="2" borderId="0" xfId="0" applyFont="1" applyFill="1" applyAlignment="1">
      <alignment vertical="top"/>
    </xf>
    <xf numFmtId="0" fontId="13" fillId="2" borderId="0" xfId="0" applyFont="1" applyFill="1" applyAlignment="1">
      <alignment vertical="top" wrapText="1"/>
    </xf>
    <xf numFmtId="0" fontId="13" fillId="2" borderId="0" xfId="0" applyFont="1" applyFill="1" applyAlignment="1">
      <alignment wrapText="1"/>
    </xf>
    <xf numFmtId="0" fontId="15" fillId="3" borderId="21" xfId="0" applyFont="1" applyFill="1" applyBorder="1" applyAlignment="1">
      <alignment horizontal="center" vertical="center" wrapText="1"/>
    </xf>
    <xf numFmtId="0" fontId="16" fillId="0" borderId="0" xfId="0" applyFont="1" applyAlignment="1">
      <alignment horizontal="center" vertical="center"/>
    </xf>
    <xf numFmtId="0" fontId="17" fillId="0" borderId="21" xfId="0" applyFont="1" applyBorder="1" applyAlignment="1">
      <alignment horizontal="left" vertical="center" wrapText="1"/>
    </xf>
    <xf numFmtId="0" fontId="17" fillId="0" borderId="21" xfId="0" applyFont="1" applyBorder="1" applyAlignment="1">
      <alignment vertical="center" wrapText="1"/>
    </xf>
    <xf numFmtId="0" fontId="17" fillId="0" borderId="0" xfId="0" applyFont="1" applyAlignment="1">
      <alignment vertical="center"/>
    </xf>
    <xf numFmtId="0" fontId="18" fillId="0" borderId="0" xfId="0" applyFont="1"/>
    <xf numFmtId="0" fontId="17" fillId="0" borderId="0" xfId="0" applyFont="1" applyAlignment="1">
      <alignment horizontal="left" vertical="center" wrapText="1"/>
    </xf>
    <xf numFmtId="0" fontId="17" fillId="0" borderId="0" xfId="0" applyFont="1" applyAlignment="1">
      <alignment vertical="center" wrapText="1"/>
    </xf>
    <xf numFmtId="0" fontId="19" fillId="2" borderId="0" xfId="0" applyFont="1" applyFill="1" applyAlignment="1">
      <alignment horizontal="center" vertical="center"/>
    </xf>
    <xf numFmtId="0" fontId="21" fillId="0" borderId="0" xfId="0" applyFont="1" applyAlignment="1">
      <alignment horizontal="center" vertical="center"/>
    </xf>
    <xf numFmtId="0" fontId="21" fillId="0" borderId="0" xfId="0" applyFont="1"/>
    <xf numFmtId="0" fontId="22" fillId="2" borderId="0" xfId="0" applyFont="1" applyFill="1" applyAlignment="1">
      <alignment horizontal="left" indent="1"/>
    </xf>
    <xf numFmtId="0" fontId="23" fillId="0" borderId="0" xfId="0" applyFont="1" applyAlignment="1">
      <alignment horizontal="left" indent="1"/>
    </xf>
    <xf numFmtId="0" fontId="21" fillId="2" borderId="0" xfId="0" applyFont="1" applyFill="1"/>
    <xf numFmtId="0" fontId="22" fillId="2" borderId="1" xfId="0" applyFont="1" applyFill="1" applyBorder="1" applyAlignment="1">
      <alignment horizontal="left"/>
    </xf>
    <xf numFmtId="0" fontId="21" fillId="0" borderId="2" xfId="0" applyFont="1" applyBorder="1"/>
    <xf numFmtId="0" fontId="22" fillId="2" borderId="1" xfId="0" applyFont="1" applyFill="1" applyBorder="1" applyAlignment="1">
      <alignment horizontal="left" vertical="center"/>
    </xf>
    <xf numFmtId="0" fontId="24" fillId="5" borderId="20" xfId="0" applyFont="1" applyFill="1" applyBorder="1" applyAlignment="1">
      <alignment horizontal="left"/>
    </xf>
    <xf numFmtId="0" fontId="21" fillId="0" borderId="2" xfId="0" quotePrefix="1" applyFont="1" applyBorder="1"/>
    <xf numFmtId="0" fontId="22" fillId="2" borderId="0" xfId="0" applyFont="1" applyFill="1"/>
    <xf numFmtId="0" fontId="23" fillId="0" borderId="0" xfId="0" applyFont="1" applyAlignment="1">
      <alignment horizontal="left"/>
    </xf>
    <xf numFmtId="0" fontId="21" fillId="0" borderId="0" xfId="0" applyFont="1" applyAlignment="1">
      <alignment horizontal="left" indent="1"/>
    </xf>
    <xf numFmtId="0" fontId="22" fillId="0" borderId="0" xfId="0" applyFont="1" applyAlignment="1">
      <alignment horizontal="left"/>
    </xf>
    <xf numFmtId="0" fontId="21" fillId="0" borderId="0" xfId="0" applyFont="1" applyAlignment="1">
      <alignment vertical="center"/>
    </xf>
    <xf numFmtId="0" fontId="21" fillId="0" borderId="0" xfId="0" applyFont="1" applyAlignment="1">
      <alignment vertical="top"/>
    </xf>
    <xf numFmtId="49" fontId="21" fillId="0" borderId="7" xfId="0" applyNumberFormat="1" applyFont="1" applyBorder="1" applyAlignment="1">
      <alignment vertical="top"/>
    </xf>
    <xf numFmtId="0" fontId="21" fillId="0" borderId="7" xfId="0" applyFont="1" applyBorder="1" applyAlignment="1">
      <alignment vertical="top"/>
    </xf>
    <xf numFmtId="165" fontId="21" fillId="0" borderId="7" xfId="0" applyNumberFormat="1" applyFont="1" applyBorder="1" applyAlignment="1">
      <alignment vertical="top" wrapText="1"/>
    </xf>
    <xf numFmtId="164" fontId="21" fillId="0" borderId="6" xfId="0" applyNumberFormat="1" applyFont="1" applyBorder="1" applyAlignment="1">
      <alignment vertical="top"/>
    </xf>
    <xf numFmtId="0" fontId="21" fillId="0" borderId="8" xfId="0" applyFont="1" applyBorder="1" applyAlignment="1">
      <alignment vertical="top"/>
    </xf>
    <xf numFmtId="164" fontId="21" fillId="0" borderId="9" xfId="0" applyNumberFormat="1" applyFont="1" applyBorder="1" applyAlignment="1">
      <alignment vertical="top"/>
    </xf>
    <xf numFmtId="49" fontId="21" fillId="0" borderId="10" xfId="0" applyNumberFormat="1" applyFont="1" applyBorder="1" applyAlignment="1">
      <alignment vertical="top"/>
    </xf>
    <xf numFmtId="0" fontId="21" fillId="0" borderId="10" xfId="0" applyFont="1" applyBorder="1" applyAlignment="1">
      <alignment vertical="top"/>
    </xf>
    <xf numFmtId="0" fontId="21" fillId="0" borderId="11" xfId="0" applyFont="1" applyBorder="1" applyAlignment="1">
      <alignment vertical="top"/>
    </xf>
    <xf numFmtId="164" fontId="15" fillId="3" borderId="22" xfId="0" applyNumberFormat="1" applyFont="1" applyFill="1" applyBorder="1" applyAlignment="1">
      <alignment horizontal="center" vertical="center"/>
    </xf>
    <xf numFmtId="0" fontId="15" fillId="3" borderId="23" xfId="0" applyFont="1" applyFill="1" applyBorder="1" applyAlignment="1">
      <alignment horizontal="center" vertical="center"/>
    </xf>
    <xf numFmtId="0" fontId="15" fillId="3" borderId="24" xfId="0" applyFont="1" applyFill="1" applyBorder="1" applyAlignment="1">
      <alignment horizontal="center" vertical="center"/>
    </xf>
    <xf numFmtId="49" fontId="21" fillId="0" borderId="6" xfId="0" applyNumberFormat="1" applyFont="1" applyBorder="1" applyAlignment="1">
      <alignment vertical="top"/>
    </xf>
    <xf numFmtId="49" fontId="21" fillId="0" borderId="8" xfId="0" applyNumberFormat="1" applyFont="1" applyBorder="1" applyAlignment="1">
      <alignment vertical="top" wrapText="1"/>
    </xf>
    <xf numFmtId="1" fontId="15" fillId="4" borderId="3" xfId="0" applyNumberFormat="1" applyFont="1" applyFill="1" applyBorder="1" applyAlignment="1">
      <alignment horizontal="center" vertical="center"/>
    </xf>
    <xf numFmtId="0" fontId="15" fillId="4" borderId="4" xfId="0" applyFont="1" applyFill="1" applyBorder="1" applyAlignment="1">
      <alignment horizontal="center" vertical="center"/>
    </xf>
    <xf numFmtId="0" fontId="15" fillId="4" borderId="13" xfId="0" applyFont="1" applyFill="1" applyBorder="1" applyAlignment="1">
      <alignment horizontal="center" vertical="center"/>
    </xf>
    <xf numFmtId="0" fontId="15" fillId="4" borderId="5" xfId="0" applyFont="1" applyFill="1" applyBorder="1" applyAlignment="1">
      <alignment horizontal="center" vertical="center"/>
    </xf>
    <xf numFmtId="1" fontId="21" fillId="2" borderId="6" xfId="0" applyNumberFormat="1" applyFont="1" applyFill="1" applyBorder="1" applyAlignment="1">
      <alignment vertical="center"/>
    </xf>
    <xf numFmtId="49" fontId="21" fillId="2" borderId="7" xfId="0" applyNumberFormat="1" applyFont="1" applyFill="1" applyBorder="1" applyAlignment="1">
      <alignment horizontal="left" vertical="center"/>
    </xf>
    <xf numFmtId="0" fontId="25" fillId="2" borderId="7" xfId="0" applyFont="1" applyFill="1" applyBorder="1" applyAlignment="1">
      <alignment horizontal="left" vertical="center"/>
    </xf>
    <xf numFmtId="0" fontId="21" fillId="2" borderId="8" xfId="0" applyFont="1" applyFill="1" applyBorder="1" applyAlignment="1">
      <alignment horizontal="left" vertical="center"/>
    </xf>
    <xf numFmtId="0" fontId="21" fillId="2" borderId="7" xfId="0" applyFont="1" applyFill="1" applyBorder="1" applyAlignment="1">
      <alignment horizontal="left" vertical="center"/>
    </xf>
    <xf numFmtId="0" fontId="17" fillId="2" borderId="0" xfId="0" applyFont="1" applyFill="1" applyAlignment="1">
      <alignment vertical="top" wrapText="1"/>
    </xf>
    <xf numFmtId="0" fontId="21" fillId="2" borderId="0" xfId="0" applyFont="1" applyFill="1" applyAlignment="1">
      <alignment wrapText="1"/>
    </xf>
    <xf numFmtId="0" fontId="17" fillId="2" borderId="0" xfId="0" applyFont="1" applyFill="1" applyAlignment="1">
      <alignment wrapText="1"/>
    </xf>
    <xf numFmtId="0" fontId="17" fillId="2" borderId="21" xfId="0" applyFont="1" applyFill="1" applyBorder="1" applyAlignment="1">
      <alignment vertical="top" wrapText="1"/>
    </xf>
    <xf numFmtId="0" fontId="21" fillId="2" borderId="21" xfId="0" applyFont="1" applyFill="1" applyBorder="1" applyAlignment="1">
      <alignment wrapText="1"/>
    </xf>
    <xf numFmtId="0" fontId="17" fillId="2" borderId="21" xfId="0" applyFont="1" applyFill="1" applyBorder="1" applyAlignment="1">
      <alignment wrapText="1"/>
    </xf>
    <xf numFmtId="0" fontId="9" fillId="2" borderId="16" xfId="0" applyFont="1" applyFill="1" applyBorder="1" applyAlignment="1">
      <alignment horizontal="center" vertical="center" wrapText="1"/>
    </xf>
    <xf numFmtId="0" fontId="13" fillId="2" borderId="17" xfId="0" applyFont="1" applyFill="1" applyBorder="1" applyAlignment="1">
      <alignment horizontal="center" vertical="center" wrapText="1"/>
    </xf>
    <xf numFmtId="0" fontId="0" fillId="0" borderId="0" xfId="0" applyAlignment="1">
      <alignment wrapText="1"/>
    </xf>
    <xf numFmtId="0" fontId="17" fillId="6" borderId="21" xfId="0" applyFont="1" applyFill="1" applyBorder="1" applyAlignment="1">
      <alignment wrapText="1"/>
    </xf>
    <xf numFmtId="0" fontId="21" fillId="6" borderId="21" xfId="0" applyFont="1" applyFill="1" applyBorder="1" applyAlignment="1">
      <alignment wrapText="1"/>
    </xf>
    <xf numFmtId="0" fontId="17" fillId="2" borderId="21" xfId="0" quotePrefix="1" applyFont="1" applyFill="1" applyBorder="1" applyAlignment="1">
      <alignment vertical="top" wrapText="1"/>
    </xf>
    <xf numFmtId="0" fontId="17" fillId="2" borderId="14" xfId="0" applyFont="1" applyFill="1" applyBorder="1" applyAlignment="1">
      <alignment wrapText="1"/>
    </xf>
    <xf numFmtId="0" fontId="21" fillId="2" borderId="14" xfId="0" applyFont="1" applyFill="1" applyBorder="1" applyAlignment="1">
      <alignment wrapText="1"/>
    </xf>
    <xf numFmtId="0" fontId="26" fillId="2" borderId="0" xfId="0" applyFont="1" applyFill="1" applyAlignment="1">
      <alignment wrapText="1"/>
    </xf>
    <xf numFmtId="0" fontId="27" fillId="2" borderId="0" xfId="0" applyFont="1" applyFill="1" applyAlignment="1">
      <alignment wrapText="1"/>
    </xf>
    <xf numFmtId="0" fontId="26" fillId="2" borderId="15" xfId="0" applyFont="1" applyFill="1" applyBorder="1" applyAlignment="1">
      <alignment horizontal="left" wrapText="1"/>
    </xf>
    <xf numFmtId="0" fontId="26" fillId="2" borderId="16" xfId="0" applyFont="1" applyFill="1" applyBorder="1" applyAlignment="1">
      <alignment horizontal="left" wrapText="1"/>
    </xf>
    <xf numFmtId="0" fontId="16" fillId="2" borderId="1" xfId="0" applyFont="1" applyFill="1" applyBorder="1" applyAlignment="1">
      <alignment horizontal="center" vertical="center" wrapText="1"/>
    </xf>
    <xf numFmtId="0" fontId="16" fillId="2" borderId="1" xfId="0" applyFont="1" applyFill="1" applyBorder="1" applyAlignment="1">
      <alignment vertical="center" wrapText="1"/>
    </xf>
    <xf numFmtId="0" fontId="27" fillId="2" borderId="0" xfId="0" applyFont="1" applyFill="1" applyAlignment="1">
      <alignment horizontal="center" wrapText="1"/>
    </xf>
    <xf numFmtId="0" fontId="17" fillId="2" borderId="1" xfId="0" applyFont="1" applyFill="1" applyBorder="1" applyAlignment="1">
      <alignment vertical="center" wrapText="1"/>
    </xf>
    <xf numFmtId="0" fontId="17" fillId="2" borderId="1" xfId="0" applyFont="1" applyFill="1" applyBorder="1" applyAlignment="1">
      <alignment horizontal="center" vertical="center" wrapText="1"/>
    </xf>
    <xf numFmtId="0" fontId="17" fillId="2" borderId="0" xfId="0" applyFont="1" applyFill="1" applyAlignment="1">
      <alignment horizontal="center" wrapText="1"/>
    </xf>
    <xf numFmtId="0" fontId="28" fillId="2" borderId="0" xfId="0" applyFont="1" applyFill="1" applyAlignment="1">
      <alignment horizontal="center" vertical="center" wrapText="1"/>
    </xf>
    <xf numFmtId="0" fontId="16" fillId="2" borderId="16" xfId="0" applyFont="1" applyFill="1" applyBorder="1" applyAlignment="1">
      <alignment horizontal="center" vertical="center" wrapText="1"/>
    </xf>
    <xf numFmtId="0" fontId="17" fillId="2" borderId="17" xfId="0" applyFont="1" applyFill="1" applyBorder="1" applyAlignment="1">
      <alignment horizontal="center" vertical="center" wrapText="1"/>
    </xf>
    <xf numFmtId="0" fontId="18" fillId="0" borderId="0" xfId="0" applyFont="1" applyAlignment="1">
      <alignment wrapText="1"/>
    </xf>
    <xf numFmtId="0" fontId="21" fillId="6" borderId="21" xfId="0" applyFont="1" applyFill="1" applyBorder="1" applyAlignment="1">
      <alignment vertical="top" wrapText="1"/>
    </xf>
    <xf numFmtId="0" fontId="21" fillId="2" borderId="21" xfId="0" applyFont="1" applyFill="1" applyBorder="1" applyAlignment="1">
      <alignment vertical="top" wrapText="1"/>
    </xf>
    <xf numFmtId="0" fontId="26" fillId="2" borderId="0" xfId="0" applyFont="1" applyFill="1"/>
    <xf numFmtId="164" fontId="21" fillId="2" borderId="0" xfId="0" applyNumberFormat="1" applyFont="1" applyFill="1"/>
    <xf numFmtId="0" fontId="22" fillId="2" borderId="2" xfId="0" applyFont="1" applyFill="1" applyBorder="1" applyAlignment="1">
      <alignment horizontal="left"/>
    </xf>
    <xf numFmtId="0" fontId="21" fillId="2" borderId="2" xfId="0" applyFont="1" applyFill="1" applyBorder="1" applyAlignment="1">
      <alignment vertical="top"/>
    </xf>
    <xf numFmtId="0" fontId="22" fillId="2" borderId="1" xfId="0" applyFont="1" applyFill="1" applyBorder="1" applyAlignment="1">
      <alignment vertical="center"/>
    </xf>
    <xf numFmtId="0" fontId="23" fillId="2" borderId="0" xfId="0" applyFont="1" applyFill="1"/>
    <xf numFmtId="0" fontId="15" fillId="3" borderId="4" xfId="0" applyFont="1" applyFill="1" applyBorder="1" applyAlignment="1">
      <alignment horizontal="center"/>
    </xf>
    <xf numFmtId="0" fontId="15" fillId="3" borderId="4" xfId="0" applyFont="1" applyFill="1" applyBorder="1" applyAlignment="1">
      <alignment horizontal="center" wrapText="1"/>
    </xf>
    <xf numFmtId="0" fontId="15" fillId="3" borderId="13" xfId="0" applyFont="1" applyFill="1" applyBorder="1" applyAlignment="1">
      <alignment horizontal="center"/>
    </xf>
    <xf numFmtId="0" fontId="15" fillId="3" borderId="18" xfId="0" applyFont="1" applyFill="1" applyBorder="1" applyAlignment="1">
      <alignment horizontal="center" wrapText="1"/>
    </xf>
    <xf numFmtId="0" fontId="21" fillId="2" borderId="7" xfId="0" applyFont="1" applyFill="1" applyBorder="1"/>
    <xf numFmtId="0" fontId="21" fillId="2" borderId="7" xfId="0" applyFont="1" applyFill="1" applyBorder="1" applyAlignment="1">
      <alignment horizontal="center"/>
    </xf>
    <xf numFmtId="0" fontId="15" fillId="3" borderId="10" xfId="0" applyFont="1" applyFill="1" applyBorder="1"/>
    <xf numFmtId="0" fontId="29" fillId="3" borderId="10" xfId="0" applyFont="1" applyFill="1" applyBorder="1" applyAlignment="1">
      <alignment horizontal="center"/>
    </xf>
    <xf numFmtId="0" fontId="29" fillId="3" borderId="19" xfId="0" applyFont="1" applyFill="1" applyBorder="1" applyAlignment="1">
      <alignment horizontal="center"/>
    </xf>
    <xf numFmtId="0" fontId="21" fillId="2" borderId="0" xfId="0" applyFont="1" applyFill="1" applyAlignment="1">
      <alignment horizontal="center"/>
    </xf>
    <xf numFmtId="10" fontId="21" fillId="2" borderId="0" xfId="0" applyNumberFormat="1" applyFont="1" applyFill="1" applyAlignment="1">
      <alignment horizontal="center"/>
    </xf>
    <xf numFmtId="9" fontId="21" fillId="2" borderId="0" xfId="0" applyNumberFormat="1" applyFont="1" applyFill="1" applyAlignment="1">
      <alignment horizontal="center"/>
    </xf>
    <xf numFmtId="0" fontId="22" fillId="2" borderId="0" xfId="0" applyFont="1" applyFill="1" applyAlignment="1">
      <alignment horizontal="left"/>
    </xf>
    <xf numFmtId="2" fontId="30" fillId="2" borderId="0" xfId="0" applyNumberFormat="1" applyFont="1" applyFill="1" applyAlignment="1">
      <alignment horizontal="right" wrapText="1"/>
    </xf>
    <xf numFmtId="0" fontId="15" fillId="3" borderId="3" xfId="0" applyFont="1" applyFill="1" applyBorder="1" applyAlignment="1">
      <alignment horizontal="center"/>
    </xf>
    <xf numFmtId="0" fontId="15" fillId="3" borderId="5" xfId="0" applyFont="1" applyFill="1" applyBorder="1" applyAlignment="1">
      <alignment horizontal="center" wrapText="1"/>
    </xf>
    <xf numFmtId="0" fontId="21" fillId="2" borderId="6" xfId="0" applyFont="1" applyFill="1" applyBorder="1" applyAlignment="1">
      <alignment horizontal="center"/>
    </xf>
    <xf numFmtId="0" fontId="21" fillId="2" borderId="8" xfId="0" applyFont="1" applyFill="1" applyBorder="1" applyAlignment="1">
      <alignment horizontal="center"/>
    </xf>
    <xf numFmtId="0" fontId="29" fillId="3" borderId="9" xfId="0" applyFont="1" applyFill="1" applyBorder="1" applyAlignment="1">
      <alignment horizontal="center"/>
    </xf>
    <xf numFmtId="0" fontId="29" fillId="3" borderId="11" xfId="0" applyFont="1" applyFill="1" applyBorder="1" applyAlignment="1">
      <alignment horizontal="center"/>
    </xf>
    <xf numFmtId="0" fontId="23" fillId="2" borderId="1" xfId="0" applyFont="1" applyFill="1" applyBorder="1" applyAlignment="1">
      <alignment horizontal="left"/>
    </xf>
    <xf numFmtId="0" fontId="22" fillId="2" borderId="1" xfId="0" applyFont="1" applyFill="1" applyBorder="1" applyAlignment="1">
      <alignment horizontal="left"/>
    </xf>
    <xf numFmtId="0" fontId="23" fillId="2" borderId="1" xfId="0" applyFont="1" applyFill="1" applyBorder="1" applyAlignment="1">
      <alignment vertical="top" wrapText="1"/>
    </xf>
    <xf numFmtId="49" fontId="23" fillId="2" borderId="1" xfId="0" applyNumberFormat="1" applyFont="1" applyFill="1" applyBorder="1" applyAlignment="1">
      <alignment vertical="top" wrapText="1"/>
    </xf>
    <xf numFmtId="0" fontId="23" fillId="2" borderId="12" xfId="0" applyFont="1" applyFill="1" applyBorder="1" applyAlignment="1">
      <alignment horizontal="left" vertical="top"/>
    </xf>
    <xf numFmtId="0" fontId="23" fillId="2" borderId="2" xfId="0" applyFont="1" applyFill="1" applyBorder="1" applyAlignment="1">
      <alignment horizontal="left" vertical="top"/>
    </xf>
    <xf numFmtId="0" fontId="20" fillId="2" borderId="0" xfId="0" applyFont="1" applyFill="1" applyAlignment="1">
      <alignment horizontal="center"/>
    </xf>
    <xf numFmtId="0" fontId="22" fillId="2" borderId="12" xfId="0" applyFont="1" applyFill="1" applyBorder="1" applyAlignment="1">
      <alignment horizontal="left"/>
    </xf>
    <xf numFmtId="0" fontId="22" fillId="2" borderId="2" xfId="0" applyFont="1" applyFill="1" applyBorder="1" applyAlignment="1">
      <alignment horizontal="left"/>
    </xf>
    <xf numFmtId="0" fontId="20" fillId="0" borderId="1" xfId="0" applyFont="1" applyBorder="1" applyAlignment="1">
      <alignment horizontal="center" vertical="center"/>
    </xf>
    <xf numFmtId="0" fontId="23" fillId="0" borderId="1" xfId="0" applyFont="1" applyBorder="1" applyAlignment="1">
      <alignment horizontal="left"/>
    </xf>
    <xf numFmtId="0" fontId="22" fillId="2" borderId="1" xfId="0" applyFont="1" applyFill="1" applyBorder="1" applyAlignment="1">
      <alignment horizontal="left" vertical="center"/>
    </xf>
    <xf numFmtId="0" fontId="23" fillId="0" borderId="1" xfId="0" applyFont="1" applyBorder="1" applyAlignment="1">
      <alignment horizontal="left" vertical="center"/>
    </xf>
    <xf numFmtId="1" fontId="6" fillId="2" borderId="12" xfId="0" applyNumberFormat="1" applyFont="1" applyFill="1" applyBorder="1"/>
    <xf numFmtId="0" fontId="7" fillId="2" borderId="1" xfId="0" applyFont="1" applyFill="1" applyBorder="1" applyAlignment="1">
      <alignment horizontal="left"/>
    </xf>
    <xf numFmtId="1" fontId="6" fillId="2" borderId="1" xfId="0" applyNumberFormat="1" applyFont="1" applyFill="1" applyBorder="1" applyAlignment="1">
      <alignment vertical="center" wrapText="1"/>
    </xf>
    <xf numFmtId="0" fontId="7" fillId="2" borderId="1" xfId="0" applyFont="1" applyFill="1" applyBorder="1" applyAlignment="1">
      <alignment vertical="top" wrapText="1"/>
    </xf>
    <xf numFmtId="0" fontId="7" fillId="2" borderId="1" xfId="0" applyFont="1" applyFill="1" applyBorder="1" applyAlignment="1">
      <alignment horizontal="left" vertical="center" wrapText="1"/>
    </xf>
    <xf numFmtId="0" fontId="9" fillId="2" borderId="1" xfId="0" applyFont="1" applyFill="1" applyBorder="1" applyAlignment="1">
      <alignment horizontal="center" vertical="center" wrapText="1"/>
    </xf>
    <xf numFmtId="0" fontId="13" fillId="2" borderId="1" xfId="0" applyFont="1" applyFill="1" applyBorder="1" applyAlignment="1">
      <alignment horizontal="center" vertical="center" wrapText="1"/>
    </xf>
    <xf numFmtId="0" fontId="23" fillId="2" borderId="1" xfId="0" applyFont="1" applyFill="1" applyBorder="1" applyAlignment="1">
      <alignment horizontal="left" vertical="center" wrapText="1"/>
    </xf>
    <xf numFmtId="0" fontId="16" fillId="2" borderId="1" xfId="0" applyFont="1" applyFill="1" applyBorder="1" applyAlignment="1">
      <alignment horizontal="center" vertical="center" wrapText="1"/>
    </xf>
    <xf numFmtId="0" fontId="17" fillId="2" borderId="1" xfId="0" applyFont="1" applyFill="1" applyBorder="1" applyAlignment="1">
      <alignment horizontal="center" vertical="center" wrapText="1"/>
    </xf>
  </cellXfs>
  <cellStyles count="4">
    <cellStyle name="Normal" xfId="0" builtinId="0"/>
    <cellStyle name="Normal 2" xfId="1" xr:uid="{00000000-0005-0000-0000-000006000000}"/>
    <cellStyle name="Normal 3" xfId="2" xr:uid="{00000000-0005-0000-0000-000007000000}"/>
    <cellStyle name="標準_結合試験(AllOvertheWorld)" xfId="3" xr:uid="{00000000-0005-0000-0000-00000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W18"/>
  <sheetViews>
    <sheetView zoomScaleNormal="100" workbookViewId="0">
      <selection activeCell="I17" sqref="I17"/>
    </sheetView>
  </sheetViews>
  <sheetFormatPr defaultColWidth="9" defaultRowHeight="13.8"/>
  <cols>
    <col min="1" max="1" width="2.109375" style="55" customWidth="1"/>
    <col min="2" max="2" width="19.6640625" style="66" customWidth="1"/>
    <col min="3" max="3" width="9.109375" style="55" customWidth="1"/>
    <col min="4" max="4" width="14.44140625" style="55" customWidth="1"/>
    <col min="5" max="5" width="8" style="55" customWidth="1"/>
    <col min="6" max="6" width="31.109375" style="55" customWidth="1"/>
    <col min="7" max="7" width="31" style="55" customWidth="1"/>
    <col min="8" max="257" width="9" style="55"/>
    <col min="258" max="16384" width="9" style="50"/>
  </cols>
  <sheetData>
    <row r="2" spans="1:7" s="54" customFormat="1" ht="75.75" customHeight="1">
      <c r="A2" s="53"/>
      <c r="B2" s="158" t="s">
        <v>0</v>
      </c>
      <c r="C2" s="158"/>
      <c r="D2" s="158"/>
      <c r="E2" s="158"/>
      <c r="F2" s="158"/>
      <c r="G2" s="158"/>
    </row>
    <row r="3" spans="1:7" ht="12.75" customHeight="1">
      <c r="B3" s="56"/>
      <c r="C3" s="57"/>
      <c r="F3" s="58"/>
    </row>
    <row r="4" spans="1:7" ht="14.25" customHeight="1">
      <c r="B4" s="59" t="s">
        <v>1</v>
      </c>
      <c r="C4" s="159" t="s">
        <v>2</v>
      </c>
      <c r="D4" s="159"/>
      <c r="E4" s="159"/>
      <c r="F4" s="59" t="s">
        <v>3</v>
      </c>
      <c r="G4" s="60" t="s">
        <v>5</v>
      </c>
    </row>
    <row r="5" spans="1:7" ht="14.25" customHeight="1">
      <c r="B5" s="59" t="s">
        <v>4</v>
      </c>
      <c r="C5" s="159" t="s">
        <v>198</v>
      </c>
      <c r="D5" s="159"/>
      <c r="E5" s="159"/>
      <c r="F5" s="59" t="s">
        <v>6</v>
      </c>
      <c r="G5" s="60" t="s">
        <v>220</v>
      </c>
    </row>
    <row r="6" spans="1:7" ht="15.75" customHeight="1">
      <c r="B6" s="160" t="s">
        <v>7</v>
      </c>
      <c r="C6" s="161" t="str">
        <f>C5&amp;"_"&amp;"CN1_TestCase"&amp;"_"&amp;"v1.0"</f>
        <v>Lab301x_CN1_TestCase_v1.0</v>
      </c>
      <c r="D6" s="161"/>
      <c r="E6" s="161"/>
      <c r="F6" s="62" t="s">
        <v>188</v>
      </c>
      <c r="G6" s="63" t="s">
        <v>8</v>
      </c>
    </row>
    <row r="7" spans="1:7" ht="13.5" customHeight="1">
      <c r="B7" s="160"/>
      <c r="C7" s="161"/>
      <c r="D7" s="161"/>
      <c r="E7" s="161"/>
      <c r="F7" s="62" t="s">
        <v>12</v>
      </c>
      <c r="G7" s="60" t="s">
        <v>199</v>
      </c>
    </row>
    <row r="8" spans="1:7" ht="12.75" customHeight="1">
      <c r="B8" s="64"/>
      <c r="C8" s="65"/>
      <c r="F8" s="56"/>
      <c r="G8" s="57"/>
    </row>
    <row r="9" spans="1:7" ht="12.75" customHeight="1">
      <c r="B9" s="55"/>
    </row>
    <row r="10" spans="1:7" ht="12.75" customHeight="1">
      <c r="B10" s="67" t="s">
        <v>10</v>
      </c>
    </row>
    <row r="11" spans="1:7" s="68" customFormat="1" ht="12.75" customHeight="1">
      <c r="B11" s="79" t="s">
        <v>11</v>
      </c>
      <c r="C11" s="80" t="s">
        <v>12</v>
      </c>
      <c r="D11" s="80" t="s">
        <v>13</v>
      </c>
      <c r="E11" s="80" t="s">
        <v>14</v>
      </c>
      <c r="F11" s="80" t="s">
        <v>15</v>
      </c>
      <c r="G11" s="81" t="s">
        <v>16</v>
      </c>
    </row>
    <row r="12" spans="1:7" s="69" customFormat="1" ht="39.6">
      <c r="B12" s="82" t="s">
        <v>8</v>
      </c>
      <c r="C12" s="70" t="s">
        <v>9</v>
      </c>
      <c r="D12" s="71" t="s">
        <v>17</v>
      </c>
      <c r="E12" s="71" t="s">
        <v>18</v>
      </c>
      <c r="F12" s="72" t="s">
        <v>19</v>
      </c>
      <c r="G12" s="83" t="s">
        <v>200</v>
      </c>
    </row>
    <row r="13" spans="1:7" s="69" customFormat="1" ht="21.75" customHeight="1">
      <c r="B13" s="73"/>
      <c r="C13" s="70"/>
      <c r="D13" s="71"/>
      <c r="E13" s="71"/>
      <c r="F13" s="71"/>
      <c r="G13" s="74"/>
    </row>
    <row r="14" spans="1:7" s="69" customFormat="1" ht="19.5" customHeight="1">
      <c r="B14" s="73"/>
      <c r="C14" s="70"/>
      <c r="D14" s="71"/>
      <c r="E14" s="71"/>
      <c r="F14" s="71"/>
      <c r="G14" s="74"/>
    </row>
    <row r="15" spans="1:7" s="69" customFormat="1" ht="21.75" customHeight="1">
      <c r="B15" s="73"/>
      <c r="C15" s="70"/>
      <c r="D15" s="71"/>
      <c r="E15" s="71"/>
      <c r="F15" s="71"/>
      <c r="G15" s="74"/>
    </row>
    <row r="16" spans="1:7" s="69" customFormat="1" ht="19.5" customHeight="1">
      <c r="B16" s="73"/>
      <c r="C16" s="70"/>
      <c r="D16" s="71"/>
      <c r="E16" s="71"/>
      <c r="F16" s="71"/>
      <c r="G16" s="74"/>
    </row>
    <row r="17" spans="2:7" s="69" customFormat="1" ht="21.75" customHeight="1">
      <c r="B17" s="73"/>
      <c r="C17" s="70"/>
      <c r="D17" s="71"/>
      <c r="E17" s="71"/>
      <c r="F17" s="71"/>
      <c r="G17" s="74"/>
    </row>
    <row r="18" spans="2:7" s="69" customFormat="1" ht="19.5" customHeight="1">
      <c r="B18" s="75"/>
      <c r="C18" s="76"/>
      <c r="D18" s="77"/>
      <c r="E18" s="77"/>
      <c r="F18" s="77"/>
      <c r="G18" s="78"/>
    </row>
  </sheetData>
  <mergeCells count="5">
    <mergeCell ref="B2:G2"/>
    <mergeCell ref="C4:E4"/>
    <mergeCell ref="C5:E5"/>
    <mergeCell ref="B6:B7"/>
    <mergeCell ref="C6:E7"/>
  </mergeCells>
  <phoneticPr fontId="14" type="noConversion"/>
  <pageMargins left="0.47013888888888899" right="0.47013888888888899" top="0.5" bottom="0.35138888888888897" header="0.511811023622047" footer="0.17013888888888901"/>
  <pageSetup paperSize="9" orientation="landscape" horizontalDpi="300" verticalDpi="300"/>
  <headerFooter>
    <oddFooter>&amp;L&amp;"Tahoma,Regular"&amp;8 02ae-BM/PM/HDCV/FSOFT v2/0&amp;C&amp;"Tahoma,Regular"&amp;8 Internal use&amp;R&amp;"tahomaTahoma,Regular"&amp;8 &amp;P/&amp;N</oddFooter>
  </headerFooter>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W39"/>
  <sheetViews>
    <sheetView zoomScaleNormal="100" workbookViewId="0">
      <selection activeCell="F39" sqref="F39"/>
    </sheetView>
  </sheetViews>
  <sheetFormatPr defaultColWidth="7.77734375" defaultRowHeight="13.8"/>
  <cols>
    <col min="1" max="1" width="22.88671875" style="51" bestFit="1" customWidth="1"/>
    <col min="2" max="2" width="27.77734375" style="51" bestFit="1" customWidth="1"/>
    <col min="3" max="3" width="22.33203125" style="51" bestFit="1" customWidth="1"/>
    <col min="4" max="4" width="61.88671875" style="52" bestFit="1" customWidth="1"/>
    <col min="5" max="5" width="14.5546875" style="51" bestFit="1" customWidth="1"/>
    <col min="6" max="6" width="44.33203125" style="52" customWidth="1"/>
    <col min="7" max="257" width="7.77734375" style="49"/>
    <col min="258" max="16384" width="7.77734375" style="50"/>
  </cols>
  <sheetData>
    <row r="1" spans="1:6" s="46" customFormat="1" ht="13.2">
      <c r="A1" s="45" t="s">
        <v>20</v>
      </c>
      <c r="B1" s="45" t="s">
        <v>21</v>
      </c>
      <c r="C1" s="45" t="s">
        <v>22</v>
      </c>
      <c r="D1" s="45" t="s">
        <v>23</v>
      </c>
      <c r="E1" s="45" t="s">
        <v>24</v>
      </c>
      <c r="F1" s="45" t="s">
        <v>25</v>
      </c>
    </row>
    <row r="2" spans="1:6">
      <c r="A2" s="47" t="s">
        <v>26</v>
      </c>
      <c r="B2" s="47" t="s">
        <v>85</v>
      </c>
      <c r="C2" s="47" t="s">
        <v>27</v>
      </c>
      <c r="D2" s="48" t="s">
        <v>28</v>
      </c>
      <c r="E2" s="47" t="s">
        <v>29</v>
      </c>
      <c r="F2" s="48"/>
    </row>
    <row r="3" spans="1:6">
      <c r="A3" s="47"/>
      <c r="B3" s="47"/>
      <c r="C3" s="47" t="s">
        <v>30</v>
      </c>
      <c r="D3" s="48" t="s">
        <v>31</v>
      </c>
      <c r="E3" s="47" t="s">
        <v>32</v>
      </c>
      <c r="F3" s="48" t="s">
        <v>33</v>
      </c>
    </row>
    <row r="4" spans="1:6">
      <c r="A4" s="47"/>
      <c r="B4" s="47"/>
      <c r="C4" s="47" t="s">
        <v>34</v>
      </c>
      <c r="D4" s="48" t="s">
        <v>134</v>
      </c>
      <c r="E4" s="47" t="s">
        <v>32</v>
      </c>
      <c r="F4" s="48"/>
    </row>
    <row r="5" spans="1:6">
      <c r="A5" s="47"/>
      <c r="B5" s="47"/>
      <c r="C5" s="47"/>
      <c r="D5" s="48" t="s">
        <v>35</v>
      </c>
      <c r="E5" s="47" t="s">
        <v>32</v>
      </c>
      <c r="F5" s="48"/>
    </row>
    <row r="6" spans="1:6">
      <c r="A6" s="47"/>
      <c r="B6" s="47"/>
      <c r="C6" s="47"/>
      <c r="D6" s="48" t="s">
        <v>36</v>
      </c>
      <c r="E6" s="47" t="s">
        <v>32</v>
      </c>
      <c r="F6" s="48" t="s">
        <v>37</v>
      </c>
    </row>
    <row r="7" spans="1:6">
      <c r="A7" s="47"/>
      <c r="B7" s="47"/>
      <c r="C7" s="47"/>
      <c r="D7" s="48" t="s">
        <v>143</v>
      </c>
      <c r="E7" s="47" t="s">
        <v>32</v>
      </c>
      <c r="F7" s="48"/>
    </row>
    <row r="8" spans="1:6">
      <c r="A8" s="47"/>
      <c r="B8" s="47"/>
      <c r="C8" s="47"/>
      <c r="D8" s="48" t="s">
        <v>38</v>
      </c>
      <c r="E8" s="47" t="s">
        <v>32</v>
      </c>
      <c r="F8" s="48" t="s">
        <v>39</v>
      </c>
    </row>
    <row r="9" spans="1:6">
      <c r="A9" s="47"/>
      <c r="B9" s="47"/>
      <c r="C9" s="47"/>
      <c r="D9" s="48" t="s">
        <v>40</v>
      </c>
      <c r="E9" s="47" t="s">
        <v>32</v>
      </c>
      <c r="F9" s="48"/>
    </row>
    <row r="10" spans="1:6">
      <c r="A10" s="47"/>
      <c r="B10" s="47"/>
      <c r="C10" s="47"/>
      <c r="D10" s="48" t="s">
        <v>41</v>
      </c>
      <c r="E10" s="47" t="s">
        <v>32</v>
      </c>
      <c r="F10" s="48"/>
    </row>
    <row r="11" spans="1:6">
      <c r="A11" s="47"/>
      <c r="B11" s="47" t="s">
        <v>87</v>
      </c>
      <c r="C11" s="47" t="s">
        <v>30</v>
      </c>
      <c r="D11" s="48" t="s">
        <v>42</v>
      </c>
      <c r="E11" s="47" t="s">
        <v>32</v>
      </c>
      <c r="F11" s="48" t="s">
        <v>202</v>
      </c>
    </row>
    <row r="12" spans="1:6">
      <c r="A12" s="47"/>
      <c r="B12" s="47"/>
      <c r="C12" s="47"/>
      <c r="D12" s="48" t="s">
        <v>43</v>
      </c>
      <c r="E12" s="47" t="s">
        <v>32</v>
      </c>
      <c r="F12" s="48" t="s">
        <v>203</v>
      </c>
    </row>
    <row r="13" spans="1:6">
      <c r="A13" s="47"/>
      <c r="B13" s="47"/>
      <c r="C13" s="47" t="s">
        <v>34</v>
      </c>
      <c r="D13" s="48" t="s">
        <v>44</v>
      </c>
      <c r="E13" s="47" t="s">
        <v>32</v>
      </c>
      <c r="F13" s="48"/>
    </row>
    <row r="14" spans="1:6">
      <c r="A14" s="47"/>
      <c r="B14" s="47"/>
      <c r="C14" s="47"/>
      <c r="D14" s="48" t="s">
        <v>45</v>
      </c>
      <c r="E14" s="47" t="s">
        <v>32</v>
      </c>
      <c r="F14" s="48"/>
    </row>
    <row r="15" spans="1:6">
      <c r="A15" s="47"/>
      <c r="B15" s="47"/>
      <c r="C15" s="47"/>
      <c r="D15" s="48" t="s">
        <v>46</v>
      </c>
      <c r="E15" s="47" t="s">
        <v>32</v>
      </c>
      <c r="F15" s="48" t="s">
        <v>204</v>
      </c>
    </row>
    <row r="16" spans="1:6">
      <c r="A16" s="47"/>
      <c r="B16" s="47" t="s">
        <v>47</v>
      </c>
      <c r="C16" s="47" t="s">
        <v>48</v>
      </c>
      <c r="D16" s="48" t="s">
        <v>49</v>
      </c>
      <c r="E16" s="47" t="s">
        <v>32</v>
      </c>
      <c r="F16" s="48" t="s">
        <v>50</v>
      </c>
    </row>
    <row r="17" spans="1:6">
      <c r="A17" s="47"/>
      <c r="B17" s="47"/>
      <c r="C17" s="47"/>
      <c r="D17" s="48" t="s">
        <v>51</v>
      </c>
      <c r="E17" s="47" t="s">
        <v>32</v>
      </c>
      <c r="F17" s="48" t="s">
        <v>52</v>
      </c>
    </row>
    <row r="18" spans="1:6">
      <c r="A18" s="47"/>
      <c r="B18" s="47"/>
      <c r="C18" s="47"/>
      <c r="D18" s="48" t="s">
        <v>35</v>
      </c>
      <c r="E18" s="47" t="s">
        <v>32</v>
      </c>
      <c r="F18" s="48"/>
    </row>
    <row r="19" spans="1:6">
      <c r="A19" s="47"/>
      <c r="B19" s="47"/>
      <c r="C19" s="47" t="s">
        <v>53</v>
      </c>
      <c r="D19" s="48" t="s">
        <v>54</v>
      </c>
      <c r="E19" s="47" t="s">
        <v>32</v>
      </c>
      <c r="F19" s="48"/>
    </row>
    <row r="20" spans="1:6">
      <c r="A20" s="47"/>
      <c r="B20" s="47"/>
      <c r="C20" s="47"/>
      <c r="D20" s="48" t="s">
        <v>55</v>
      </c>
      <c r="E20" s="47" t="s">
        <v>32</v>
      </c>
      <c r="F20" s="48"/>
    </row>
    <row r="21" spans="1:6">
      <c r="A21" s="47"/>
      <c r="B21" s="47"/>
      <c r="C21" s="47"/>
      <c r="D21" s="48" t="s">
        <v>56</v>
      </c>
      <c r="E21" s="47" t="s">
        <v>32</v>
      </c>
      <c r="F21" s="48"/>
    </row>
    <row r="22" spans="1:6">
      <c r="A22" s="47"/>
      <c r="B22" s="47"/>
      <c r="C22" s="47"/>
      <c r="D22" s="48" t="s">
        <v>41</v>
      </c>
      <c r="E22" s="47" t="s">
        <v>32</v>
      </c>
      <c r="F22" s="48"/>
    </row>
    <row r="23" spans="1:6">
      <c r="A23" s="47"/>
      <c r="B23" s="47"/>
      <c r="C23" s="47"/>
      <c r="D23" s="48" t="s">
        <v>57</v>
      </c>
      <c r="E23" s="47" t="s">
        <v>32</v>
      </c>
      <c r="F23" s="48" t="s">
        <v>58</v>
      </c>
    </row>
    <row r="24" spans="1:6">
      <c r="A24" s="47"/>
      <c r="B24" s="47" t="s">
        <v>89</v>
      </c>
      <c r="C24" s="47" t="s">
        <v>30</v>
      </c>
      <c r="D24" s="48" t="s">
        <v>59</v>
      </c>
      <c r="E24" s="47" t="s">
        <v>32</v>
      </c>
      <c r="F24" s="48"/>
    </row>
    <row r="25" spans="1:6">
      <c r="A25" s="47"/>
      <c r="B25" s="47"/>
      <c r="C25" s="47" t="s">
        <v>34</v>
      </c>
      <c r="D25" s="48" t="s">
        <v>60</v>
      </c>
      <c r="E25" s="47" t="s">
        <v>32</v>
      </c>
      <c r="F25" s="48"/>
    </row>
    <row r="26" spans="1:6">
      <c r="A26" s="47"/>
      <c r="B26" s="47"/>
      <c r="C26" s="47"/>
      <c r="D26" s="48" t="s">
        <v>56</v>
      </c>
      <c r="E26" s="47" t="s">
        <v>32</v>
      </c>
      <c r="F26" s="48"/>
    </row>
    <row r="27" spans="1:6">
      <c r="A27" s="47"/>
      <c r="B27" s="47"/>
      <c r="C27" s="47"/>
      <c r="D27" s="48" t="s">
        <v>61</v>
      </c>
      <c r="E27" s="47" t="s">
        <v>32</v>
      </c>
      <c r="F27" s="48"/>
    </row>
    <row r="28" spans="1:6">
      <c r="A28" s="47"/>
      <c r="B28" s="47"/>
      <c r="C28" s="47"/>
      <c r="D28" s="48" t="s">
        <v>62</v>
      </c>
      <c r="E28" s="47" t="s">
        <v>32</v>
      </c>
      <c r="F28" s="48"/>
    </row>
    <row r="29" spans="1:6">
      <c r="A29" s="47"/>
      <c r="B29" s="47" t="s">
        <v>201</v>
      </c>
      <c r="C29" s="47" t="s">
        <v>63</v>
      </c>
      <c r="D29" s="48" t="s">
        <v>64</v>
      </c>
      <c r="E29" s="47" t="s">
        <v>32</v>
      </c>
      <c r="F29" s="48"/>
    </row>
    <row r="30" spans="1:6">
      <c r="A30" s="47"/>
      <c r="B30" s="47"/>
      <c r="C30" s="47"/>
      <c r="D30" s="48" t="s">
        <v>65</v>
      </c>
      <c r="E30" s="47" t="s">
        <v>32</v>
      </c>
      <c r="F30" s="48"/>
    </row>
    <row r="31" spans="1:6">
      <c r="A31" s="47"/>
      <c r="B31" s="47"/>
      <c r="C31" s="47"/>
      <c r="D31" s="48" t="s">
        <v>110</v>
      </c>
      <c r="E31" s="47" t="s">
        <v>32</v>
      </c>
      <c r="F31" s="48"/>
    </row>
    <row r="32" spans="1:6">
      <c r="A32" s="47"/>
      <c r="B32" s="47"/>
      <c r="C32" s="47"/>
      <c r="D32" s="48" t="s">
        <v>66</v>
      </c>
      <c r="E32" s="47" t="s">
        <v>32</v>
      </c>
      <c r="F32" s="48"/>
    </row>
    <row r="33" spans="1:6">
      <c r="A33" s="47"/>
      <c r="B33" s="47"/>
      <c r="C33" s="47"/>
      <c r="D33" s="48" t="s">
        <v>67</v>
      </c>
      <c r="E33" s="47" t="s">
        <v>32</v>
      </c>
      <c r="F33" s="48"/>
    </row>
    <row r="34" spans="1:6">
      <c r="A34" s="47"/>
      <c r="B34" s="47"/>
      <c r="C34" s="47" t="s">
        <v>68</v>
      </c>
      <c r="D34" s="48" t="s">
        <v>69</v>
      </c>
      <c r="E34" s="47" t="s">
        <v>32</v>
      </c>
      <c r="F34" s="48"/>
    </row>
    <row r="35" spans="1:6">
      <c r="A35" s="47"/>
      <c r="B35" s="47"/>
      <c r="C35" s="47"/>
      <c r="D35" s="48" t="s">
        <v>70</v>
      </c>
      <c r="E35" s="47" t="s">
        <v>32</v>
      </c>
      <c r="F35" s="48" t="s">
        <v>205</v>
      </c>
    </row>
    <row r="36" spans="1:6">
      <c r="A36" s="47"/>
      <c r="B36" s="47"/>
      <c r="C36" s="47"/>
      <c r="D36" s="48" t="s">
        <v>71</v>
      </c>
      <c r="E36" s="47" t="s">
        <v>32</v>
      </c>
      <c r="F36" s="48"/>
    </row>
    <row r="37" spans="1:6">
      <c r="A37" s="47"/>
      <c r="B37" s="47"/>
      <c r="C37" s="47"/>
      <c r="D37" s="48" t="s">
        <v>72</v>
      </c>
      <c r="E37" s="47" t="s">
        <v>32</v>
      </c>
      <c r="F37" s="48" t="s">
        <v>205</v>
      </c>
    </row>
    <row r="38" spans="1:6">
      <c r="A38" s="47"/>
      <c r="B38" s="47"/>
      <c r="C38" s="47"/>
      <c r="D38" s="48" t="s">
        <v>73</v>
      </c>
      <c r="E38" s="47" t="s">
        <v>32</v>
      </c>
      <c r="F38" s="48" t="s">
        <v>205</v>
      </c>
    </row>
    <row r="39" spans="1:6">
      <c r="A39" s="47"/>
      <c r="B39" s="47"/>
      <c r="C39" s="47"/>
      <c r="D39" s="48" t="s">
        <v>128</v>
      </c>
      <c r="E39" s="47" t="s">
        <v>32</v>
      </c>
      <c r="F39" s="48"/>
    </row>
  </sheetData>
  <autoFilter ref="A1:F15" xr:uid="{00000000-0009-0000-0000-000001000000}"/>
  <pageMargins left="0.39374999999999999" right="0.39374999999999999" top="0.39374999999999999" bottom="0.39374999999999999" header="0.511811023622047" footer="0.511811023622047"/>
  <pageSetup paperSize="9" scale="93"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W21"/>
  <sheetViews>
    <sheetView zoomScaleNormal="100" workbookViewId="0">
      <selection activeCell="C17" sqref="C17"/>
    </sheetView>
  </sheetViews>
  <sheetFormatPr defaultColWidth="9" defaultRowHeight="13.8"/>
  <cols>
    <col min="1" max="1" width="1.33203125" style="3" customWidth="1"/>
    <col min="2" max="2" width="11.6640625" style="4" customWidth="1"/>
    <col min="3" max="3" width="26.44140625" style="5" customWidth="1"/>
    <col min="4" max="4" width="17.109375" style="5" customWidth="1"/>
    <col min="5" max="5" width="28.109375" style="5" customWidth="1"/>
    <col min="6" max="6" width="30.6640625" style="5" customWidth="1"/>
    <col min="7" max="257" width="9" style="3"/>
  </cols>
  <sheetData>
    <row r="1" spans="2:6" ht="24.75" customHeight="1">
      <c r="B1" s="6"/>
      <c r="D1" s="7" t="s">
        <v>74</v>
      </c>
      <c r="E1" s="8"/>
    </row>
    <row r="2" spans="2:6" ht="13.5" customHeight="1">
      <c r="B2" s="6"/>
      <c r="D2" s="9"/>
      <c r="E2" s="9"/>
    </row>
    <row r="3" spans="2:6" ht="12.75" customHeight="1">
      <c r="B3" s="162" t="s">
        <v>1</v>
      </c>
      <c r="C3" s="162"/>
      <c r="D3" s="163" t="str">
        <f>Cover!C4</f>
        <v>Dò vé số</v>
      </c>
      <c r="E3" s="163"/>
      <c r="F3" s="163"/>
    </row>
    <row r="4" spans="2:6" ht="12.75" customHeight="1">
      <c r="B4" s="162" t="s">
        <v>4</v>
      </c>
      <c r="C4" s="162"/>
      <c r="D4" s="163" t="str">
        <f>Cover!C5</f>
        <v>Lab301x</v>
      </c>
      <c r="E4" s="163"/>
      <c r="F4" s="163"/>
    </row>
    <row r="5" spans="2:6" s="10" customFormat="1" ht="84.75" customHeight="1">
      <c r="B5" s="164" t="s">
        <v>75</v>
      </c>
      <c r="C5" s="164"/>
      <c r="D5" s="165" t="s">
        <v>76</v>
      </c>
      <c r="E5" s="165"/>
      <c r="F5" s="165"/>
    </row>
    <row r="6" spans="2:6" ht="12.75" customHeight="1">
      <c r="B6" s="11"/>
      <c r="C6" s="3"/>
      <c r="D6" s="3"/>
      <c r="E6" s="3"/>
      <c r="F6" s="3"/>
    </row>
    <row r="7" spans="2:6" s="12" customFormat="1" ht="12.75" customHeight="1">
      <c r="B7" s="13"/>
      <c r="C7" s="14"/>
      <c r="D7" s="14"/>
      <c r="E7" s="14"/>
      <c r="F7" s="14"/>
    </row>
    <row r="8" spans="2:6" s="15" customFormat="1" ht="21" customHeight="1">
      <c r="B8" s="84" t="s">
        <v>77</v>
      </c>
      <c r="C8" s="85" t="s">
        <v>78</v>
      </c>
      <c r="D8" s="85" t="s">
        <v>79</v>
      </c>
      <c r="E8" s="86" t="s">
        <v>80</v>
      </c>
      <c r="F8" s="87" t="s">
        <v>81</v>
      </c>
    </row>
    <row r="9" spans="2:6" ht="12.75" customHeight="1">
      <c r="B9" s="88">
        <v>1</v>
      </c>
      <c r="C9" s="89" t="s">
        <v>82</v>
      </c>
      <c r="D9" s="90" t="s">
        <v>83</v>
      </c>
      <c r="E9" s="90"/>
      <c r="F9" s="91"/>
    </row>
    <row r="10" spans="2:6" ht="12.75" customHeight="1">
      <c r="B10" s="88">
        <v>2</v>
      </c>
      <c r="C10" s="89" t="s">
        <v>84</v>
      </c>
      <c r="D10" s="90" t="s">
        <v>83</v>
      </c>
      <c r="E10" s="90"/>
      <c r="F10" s="91"/>
    </row>
    <row r="11" spans="2:6" ht="12.75" customHeight="1">
      <c r="B11" s="88">
        <v>3</v>
      </c>
      <c r="C11" s="89" t="s">
        <v>85</v>
      </c>
      <c r="D11" s="90" t="s">
        <v>86</v>
      </c>
      <c r="E11" s="90"/>
      <c r="F11" s="91"/>
    </row>
    <row r="12" spans="2:6" ht="12.75" customHeight="1">
      <c r="B12" s="88">
        <v>4</v>
      </c>
      <c r="C12" s="89" t="s">
        <v>87</v>
      </c>
      <c r="D12" s="90" t="s">
        <v>88</v>
      </c>
      <c r="E12" s="90"/>
      <c r="F12" s="91"/>
    </row>
    <row r="13" spans="2:6" ht="12.75" customHeight="1">
      <c r="B13" s="88">
        <v>5</v>
      </c>
      <c r="C13" s="89" t="s">
        <v>48</v>
      </c>
      <c r="D13" s="90" t="s">
        <v>88</v>
      </c>
      <c r="E13" s="90"/>
      <c r="F13" s="91"/>
    </row>
    <row r="14" spans="2:6" ht="12.75" customHeight="1">
      <c r="B14" s="88">
        <v>6</v>
      </c>
      <c r="C14" s="89" t="s">
        <v>53</v>
      </c>
      <c r="D14" s="90" t="s">
        <v>88</v>
      </c>
      <c r="E14" s="92"/>
      <c r="F14" s="91"/>
    </row>
    <row r="15" spans="2:6" ht="12.75" customHeight="1">
      <c r="B15" s="88">
        <v>7</v>
      </c>
      <c r="C15" s="89" t="s">
        <v>89</v>
      </c>
      <c r="D15" s="90" t="s">
        <v>88</v>
      </c>
      <c r="E15" s="92"/>
      <c r="F15" s="91"/>
    </row>
    <row r="16" spans="2:6" ht="12.75" customHeight="1">
      <c r="B16" s="16"/>
      <c r="C16" s="17"/>
      <c r="D16" s="19"/>
      <c r="E16" s="19"/>
      <c r="F16" s="18"/>
    </row>
    <row r="17" spans="2:6" ht="12.75" customHeight="1">
      <c r="B17" s="16"/>
      <c r="C17" s="17"/>
      <c r="D17" s="19"/>
      <c r="E17" s="19"/>
      <c r="F17" s="18"/>
    </row>
    <row r="18" spans="2:6" ht="12.75" customHeight="1">
      <c r="B18" s="16"/>
      <c r="C18" s="17"/>
      <c r="D18" s="19"/>
      <c r="E18" s="19"/>
      <c r="F18" s="18"/>
    </row>
    <row r="19" spans="2:6" ht="12.75" customHeight="1">
      <c r="B19" s="16"/>
      <c r="C19" s="17"/>
      <c r="D19" s="19"/>
      <c r="E19" s="19"/>
      <c r="F19" s="18"/>
    </row>
    <row r="20" spans="2:6" ht="12.75" customHeight="1">
      <c r="B20" s="16"/>
      <c r="C20" s="17"/>
      <c r="D20" s="19"/>
      <c r="E20" s="19"/>
      <c r="F20" s="18"/>
    </row>
    <row r="21" spans="2:6" ht="12.75" customHeight="1">
      <c r="B21" s="20"/>
      <c r="C21" s="21"/>
      <c r="D21" s="22"/>
      <c r="E21" s="22"/>
      <c r="F21" s="23"/>
    </row>
  </sheetData>
  <mergeCells count="6">
    <mergeCell ref="B3:C3"/>
    <mergeCell ref="D3:F3"/>
    <mergeCell ref="B4:C4"/>
    <mergeCell ref="D4:F4"/>
    <mergeCell ref="B5:C5"/>
    <mergeCell ref="D5:F5"/>
  </mergeCells>
  <hyperlinks>
    <hyperlink ref="D9" location="Module1!B10" display="Module1" xr:uid="{00000000-0004-0000-0200-000000000000}"/>
    <hyperlink ref="D10" location="Module1!B14" display="Module1" xr:uid="{00000000-0004-0000-0200-000001000000}"/>
    <hyperlink ref="D11" location="Module2!B17" display="Module2" xr:uid="{00000000-0004-0000-0200-000002000000}"/>
    <hyperlink ref="D12:D15" location="Module3!A1" display="Module3" xr:uid="{E8BF84B7-6CB0-4EF9-A248-B115E60269A0}"/>
  </hyperlinks>
  <pageMargins left="0.74791666666666701" right="0.74791666666666701" top="0.98402777777777795" bottom="1.15069444444444" header="0.511811023622047" footer="0.98402777777777795"/>
  <pageSetup paperSize="9" orientation="landscape" horizontalDpi="300" verticalDpi="300"/>
  <headerFooter>
    <oddFooter>&amp;L&amp;"Tahoma,Regular"&amp;8 02ae-BM/PM/HDCV/FSOFT v2/0&amp;C&amp;"tahoma,Regular"&amp;8 Internal use&amp;R&amp;"tahoma,Regular"&amp;8 &amp;P/&amp;N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W21"/>
  <sheetViews>
    <sheetView zoomScale="85" zoomScaleNormal="85" workbookViewId="0">
      <pane ySplit="8" topLeftCell="A18" activePane="bottomLeft" state="frozen"/>
      <selection pane="bottomLeft" activeCell="B21" sqref="B21"/>
    </sheetView>
  </sheetViews>
  <sheetFormatPr defaultColWidth="9" defaultRowHeight="13.8"/>
  <cols>
    <col min="1" max="1" width="17.44140625" style="10" bestFit="1" customWidth="1"/>
    <col min="2" max="5" width="40.77734375" style="10" customWidth="1"/>
    <col min="6" max="7" width="10.77734375" style="10" customWidth="1"/>
    <col min="8" max="8" width="20.88671875" style="10" customWidth="1"/>
    <col min="9" max="9" width="8.109375" style="29" customWidth="1"/>
    <col min="10" max="10" width="8.44140625" style="10" bestFit="1" customWidth="1"/>
    <col min="11" max="257" width="9" style="10"/>
    <col min="258" max="16384" width="9" style="101"/>
  </cols>
  <sheetData>
    <row r="1" spans="1:10" s="44" customFormat="1" ht="13.2">
      <c r="A1" s="26"/>
      <c r="B1" s="26"/>
      <c r="C1" s="26"/>
      <c r="D1" s="26"/>
      <c r="E1" s="26"/>
      <c r="F1" s="27"/>
      <c r="G1" s="28"/>
      <c r="H1" s="10"/>
      <c r="I1" s="29"/>
    </row>
    <row r="2" spans="1:10" s="44" customFormat="1" ht="13.2">
      <c r="A2" s="31" t="s">
        <v>90</v>
      </c>
      <c r="B2" s="166" t="s">
        <v>83</v>
      </c>
      <c r="C2" s="166"/>
      <c r="D2" s="166"/>
      <c r="E2" s="166"/>
      <c r="F2" s="166"/>
      <c r="G2" s="166"/>
      <c r="H2" s="166"/>
      <c r="I2" s="29"/>
      <c r="J2" s="44" t="s">
        <v>91</v>
      </c>
    </row>
    <row r="3" spans="1:10" s="44" customFormat="1" ht="13.2">
      <c r="A3" s="32" t="s">
        <v>92</v>
      </c>
      <c r="B3" s="166" t="s">
        <v>93</v>
      </c>
      <c r="C3" s="166"/>
      <c r="D3" s="166"/>
      <c r="E3" s="166"/>
      <c r="F3" s="166"/>
      <c r="G3" s="166"/>
      <c r="H3" s="166"/>
      <c r="I3" s="29"/>
      <c r="J3" s="44" t="s">
        <v>94</v>
      </c>
    </row>
    <row r="4" spans="1:10" s="44" customFormat="1" ht="13.2">
      <c r="A4" s="31" t="s">
        <v>95</v>
      </c>
      <c r="B4" s="166"/>
      <c r="C4" s="166"/>
      <c r="D4" s="166"/>
      <c r="E4" s="166"/>
      <c r="F4" s="166"/>
      <c r="G4" s="166"/>
      <c r="H4" s="166"/>
      <c r="I4" s="29"/>
      <c r="J4" s="44" t="s">
        <v>96</v>
      </c>
    </row>
    <row r="5" spans="1:10" s="44" customFormat="1" ht="13.2">
      <c r="A5" s="99" t="s">
        <v>91</v>
      </c>
      <c r="B5" s="2" t="s">
        <v>94</v>
      </c>
      <c r="C5" s="2" t="s">
        <v>97</v>
      </c>
      <c r="D5" s="2" t="s">
        <v>96</v>
      </c>
      <c r="E5" s="34" t="s">
        <v>98</v>
      </c>
      <c r="F5" s="167" t="s">
        <v>99</v>
      </c>
      <c r="G5" s="167"/>
      <c r="H5" s="167"/>
      <c r="I5" s="35"/>
      <c r="J5" s="44" t="s">
        <v>97</v>
      </c>
    </row>
    <row r="6" spans="1:10" s="44" customFormat="1" ht="13.2">
      <c r="A6" s="100">
        <f>COUNTIF(F9:F996,"Passed")</f>
        <v>11</v>
      </c>
      <c r="B6" s="1">
        <f>COUNTIF(F9:F996,"Failed")</f>
        <v>0</v>
      </c>
      <c r="C6" s="1">
        <f>F6-E6-D6-B6-A6</f>
        <v>0</v>
      </c>
      <c r="D6" s="1">
        <f>COUNTIF(F$9:F$996,"Blocked")</f>
        <v>0</v>
      </c>
      <c r="E6" s="38">
        <f>COUNTIF(F$9:F$996,"Skipped")</f>
        <v>0</v>
      </c>
      <c r="F6" s="168">
        <f>COUNTA(A9:A996)</f>
        <v>11</v>
      </c>
      <c r="G6" s="168"/>
      <c r="H6" s="168"/>
      <c r="I6" s="35"/>
      <c r="J6" s="44" t="s">
        <v>98</v>
      </c>
    </row>
    <row r="7" spans="1:10" s="44" customFormat="1" ht="13.2">
      <c r="D7" s="39"/>
      <c r="E7" s="39"/>
      <c r="F7" s="40"/>
      <c r="G7" s="40"/>
      <c r="H7" s="40"/>
      <c r="I7" s="35"/>
    </row>
    <row r="8" spans="1:10" s="44" customFormat="1" ht="13.2">
      <c r="A8" s="45" t="s">
        <v>100</v>
      </c>
      <c r="B8" s="45" t="s">
        <v>101</v>
      </c>
      <c r="C8" s="45" t="s">
        <v>102</v>
      </c>
      <c r="D8" s="45" t="s">
        <v>103</v>
      </c>
      <c r="E8" s="45" t="s">
        <v>104</v>
      </c>
      <c r="F8" s="45" t="s">
        <v>105</v>
      </c>
      <c r="G8" s="45" t="s">
        <v>106</v>
      </c>
      <c r="H8" s="45" t="s">
        <v>25</v>
      </c>
      <c r="I8" s="41"/>
    </row>
    <row r="9" spans="1:10" s="44" customFormat="1" ht="13.2">
      <c r="A9" s="102"/>
      <c r="B9" s="102" t="s">
        <v>82</v>
      </c>
      <c r="C9" s="102"/>
      <c r="D9" s="102"/>
      <c r="E9" s="102"/>
      <c r="F9" s="102"/>
      <c r="G9" s="102"/>
      <c r="H9" s="102"/>
    </row>
    <row r="10" spans="1:10" s="43" customFormat="1" ht="39.6">
      <c r="A10" s="96" t="str">
        <f>IF(OR(B10&lt;&gt;"",D10&lt;&gt;""),"[" &amp;TEXT($B$2,"##")&amp;"-"&amp;TEXT(1,"00")&amp;"]","")</f>
        <v>[Module1-01]</v>
      </c>
      <c r="B10" s="96" t="s">
        <v>64</v>
      </c>
      <c r="C10" s="96" t="s">
        <v>107</v>
      </c>
      <c r="D10" s="96" t="s">
        <v>108</v>
      </c>
      <c r="E10" s="96"/>
      <c r="F10" s="122" t="s">
        <v>91</v>
      </c>
      <c r="G10" s="104" t="s">
        <v>8</v>
      </c>
      <c r="H10" s="96"/>
    </row>
    <row r="11" spans="1:10" ht="39.6">
      <c r="A11" s="97" t="str">
        <f>IF(OR(B11&lt;&gt;"",D11&lt;&gt;""),"[" &amp;TEXT($B$2,"##")&amp;"-"&amp;TEXT(2,"00")&amp;"]","")</f>
        <v>[Module1-02]</v>
      </c>
      <c r="B11" s="97" t="s">
        <v>109</v>
      </c>
      <c r="C11" s="97" t="s">
        <v>207</v>
      </c>
      <c r="D11" s="97" t="s">
        <v>206</v>
      </c>
      <c r="E11" s="97"/>
      <c r="F11" s="122" t="s">
        <v>91</v>
      </c>
      <c r="G11" s="104" t="s">
        <v>8</v>
      </c>
      <c r="H11" s="97"/>
    </row>
    <row r="12" spans="1:10" ht="26.4">
      <c r="A12" s="97" t="str">
        <f>IF(OR(B12&lt;&gt;"",D12&lt;&gt;""),"[" &amp;TEXT($B$2,"##")&amp;"-"&amp;TEXT(3,"00")&amp;"]","")</f>
        <v>[Module1-03]</v>
      </c>
      <c r="B12" s="97" t="s">
        <v>110</v>
      </c>
      <c r="C12" s="97" t="s">
        <v>111</v>
      </c>
      <c r="D12" s="97" t="s">
        <v>112</v>
      </c>
      <c r="E12" s="97"/>
      <c r="F12" s="122" t="s">
        <v>91</v>
      </c>
      <c r="G12" s="104" t="s">
        <v>8</v>
      </c>
      <c r="H12" s="97"/>
    </row>
    <row r="13" spans="1:10" s="44" customFormat="1" ht="26.4">
      <c r="A13" s="98" t="str">
        <f>IF(OR(B13&lt;&gt;"",D13&lt;&gt;""),"[" &amp;TEXT($B$2,"##")&amp;"-"&amp;TEXT(4,"00")&amp;"]","")</f>
        <v>[Module1-04]</v>
      </c>
      <c r="B13" s="98" t="s">
        <v>113</v>
      </c>
      <c r="C13" s="98" t="s">
        <v>114</v>
      </c>
      <c r="D13" s="98" t="s">
        <v>208</v>
      </c>
      <c r="E13" s="98"/>
      <c r="F13" s="122" t="s">
        <v>91</v>
      </c>
      <c r="G13" s="104" t="s">
        <v>8</v>
      </c>
      <c r="H13" s="98"/>
    </row>
    <row r="14" spans="1:10" ht="26.4">
      <c r="A14" s="97" t="str">
        <f>IF(OR(B14&lt;&gt;"",D14&lt;&gt;""),"[" &amp;TEXT($B$2,"##")&amp;"-"&amp;TEXT(5,"00")&amp;"]","")</f>
        <v>[Module1-05]</v>
      </c>
      <c r="B14" s="97" t="s">
        <v>67</v>
      </c>
      <c r="C14" s="97" t="s">
        <v>115</v>
      </c>
      <c r="D14" s="97" t="s">
        <v>116</v>
      </c>
      <c r="E14" s="97" t="s">
        <v>117</v>
      </c>
      <c r="F14" s="122" t="s">
        <v>91</v>
      </c>
      <c r="G14" s="104" t="s">
        <v>8</v>
      </c>
      <c r="H14" s="97"/>
    </row>
    <row r="15" spans="1:10">
      <c r="A15" s="103"/>
      <c r="B15" s="103" t="s">
        <v>84</v>
      </c>
      <c r="C15" s="103"/>
      <c r="D15" s="103"/>
      <c r="E15" s="103"/>
      <c r="F15" s="121"/>
      <c r="G15" s="121"/>
      <c r="H15" s="103"/>
    </row>
    <row r="16" spans="1:10" s="44" customFormat="1" ht="52.8">
      <c r="A16" s="98" t="str">
        <f>IF(OR(B16&lt;&gt;"",D16&lt;&gt;""),"[" &amp;TEXT($B$2,"##")&amp;"-"&amp;TEXT(6,"00")&amp;"]","")</f>
        <v>[Module1-06]</v>
      </c>
      <c r="B16" s="98" t="s">
        <v>69</v>
      </c>
      <c r="C16" s="98" t="s">
        <v>118</v>
      </c>
      <c r="D16" s="98" t="s">
        <v>119</v>
      </c>
      <c r="E16" s="98" t="s">
        <v>120</v>
      </c>
      <c r="F16" s="122" t="s">
        <v>91</v>
      </c>
      <c r="G16" s="104" t="s">
        <v>8</v>
      </c>
      <c r="H16" s="98"/>
    </row>
    <row r="17" spans="1:8" ht="52.8">
      <c r="A17" s="97" t="str">
        <f>IF(OR(B17&lt;&gt;"",D17&lt;&gt;""),"[" &amp;TEXT($B$2,"##")&amp;"-"&amp;TEXT(7,"00")&amp;"]","")</f>
        <v>[Module1-07]</v>
      </c>
      <c r="B17" s="97" t="s">
        <v>70</v>
      </c>
      <c r="C17" s="97" t="s">
        <v>121</v>
      </c>
      <c r="D17" s="97" t="s">
        <v>209</v>
      </c>
      <c r="E17" s="97"/>
      <c r="F17" s="122" t="s">
        <v>91</v>
      </c>
      <c r="G17" s="104" t="s">
        <v>8</v>
      </c>
      <c r="H17" s="97"/>
    </row>
    <row r="18" spans="1:8" ht="39.6">
      <c r="A18" s="97" t="str">
        <f>IF(OR(B18&lt;&gt;"",D18&lt;&gt;""),"[" &amp;TEXT($B$2,"##")&amp;"-"&amp;TEXT(8,"00")&amp;"]","")</f>
        <v>[Module1-08]</v>
      </c>
      <c r="B18" s="97" t="s">
        <v>71</v>
      </c>
      <c r="C18" s="97" t="s">
        <v>122</v>
      </c>
      <c r="D18" s="97" t="s">
        <v>123</v>
      </c>
      <c r="E18" s="97"/>
      <c r="F18" s="122" t="s">
        <v>91</v>
      </c>
      <c r="G18" s="104" t="s">
        <v>8</v>
      </c>
      <c r="H18" s="97"/>
    </row>
    <row r="19" spans="1:8" ht="66">
      <c r="A19" s="97" t="str">
        <f>IF(OR(B19&lt;&gt;"",D19&lt;&gt;""),"[" &amp;TEXT($B$2,"##")&amp;"-"&amp;TEXT(9,"00")&amp;"]","")</f>
        <v>[Module1-09]</v>
      </c>
      <c r="B19" s="97" t="s">
        <v>72</v>
      </c>
      <c r="C19" s="97" t="s">
        <v>124</v>
      </c>
      <c r="D19" s="97" t="s">
        <v>210</v>
      </c>
      <c r="E19" s="97" t="s">
        <v>125</v>
      </c>
      <c r="F19" s="122" t="s">
        <v>91</v>
      </c>
      <c r="G19" s="104" t="s">
        <v>8</v>
      </c>
      <c r="H19" s="97"/>
    </row>
    <row r="20" spans="1:8" ht="52.8">
      <c r="A20" s="97" t="str">
        <f>IF(OR(B20&lt;&gt;"",D20&lt;&gt;""),"[" &amp;TEXT($B$2,"##")&amp;"-"&amp;TEXT(10,"00")&amp;"]","")</f>
        <v>[Module1-10]</v>
      </c>
      <c r="B20" s="97" t="s">
        <v>73</v>
      </c>
      <c r="C20" s="97" t="s">
        <v>126</v>
      </c>
      <c r="D20" s="97" t="s">
        <v>211</v>
      </c>
      <c r="E20" s="97" t="s">
        <v>127</v>
      </c>
      <c r="F20" s="122" t="s">
        <v>91</v>
      </c>
      <c r="G20" s="104" t="s">
        <v>8</v>
      </c>
      <c r="H20" s="97"/>
    </row>
    <row r="21" spans="1:8" ht="26.4">
      <c r="A21" s="97" t="str">
        <f>IF(OR(B21&lt;&gt;"",D21&lt;&gt;""),"[" &amp;TEXT($B$2,"##")&amp;"-"&amp;TEXT(11,"00")&amp;"]","")</f>
        <v>[Module1-11]</v>
      </c>
      <c r="B21" s="97" t="s">
        <v>128</v>
      </c>
      <c r="C21" s="97" t="s">
        <v>129</v>
      </c>
      <c r="D21" s="97" t="s">
        <v>130</v>
      </c>
      <c r="E21" s="97"/>
      <c r="F21" s="122" t="s">
        <v>91</v>
      </c>
      <c r="G21" s="104" t="s">
        <v>8</v>
      </c>
      <c r="H21" s="97"/>
    </row>
  </sheetData>
  <mergeCells count="5">
    <mergeCell ref="B2:H2"/>
    <mergeCell ref="B3:H3"/>
    <mergeCell ref="B4:H4"/>
    <mergeCell ref="F5:H5"/>
    <mergeCell ref="F6:H6"/>
  </mergeCells>
  <phoneticPr fontId="14" type="noConversion"/>
  <dataValidations count="1">
    <dataValidation type="list" allowBlank="1" showErrorMessage="1" sqref="F1 F7:F145" xr:uid="{00000000-0002-0000-0300-000000000000}">
      <formula1>$J$2:$J$6</formula1>
      <formula2>0</formula2>
    </dataValidation>
  </dataValidations>
  <pageMargins left="0.74791666666666701" right="0.25" top="0.75" bottom="0.98402777777777795" header="0.5" footer="0.5"/>
  <pageSetup paperSize="9" orientation="landscape" horizontalDpi="300" verticalDpi="300"/>
  <headerFooter>
    <oddHeader>&amp;LFacilitate_Test Case\Company&amp;Rv1.0</oddHeader>
    <oddFooter>&amp;L&amp;"Tahoma,Regular"&amp;8 02ae-BM/PM/HDCV/FSOFT v2/0&amp;C&amp;"Tahoma,Regular"&amp;10 Internal use&amp;R&amp;"Tahoma,Regular"&amp;8 &amp;P/&amp;N</oddFoot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W18"/>
  <sheetViews>
    <sheetView zoomScale="85" zoomScaleNormal="85" workbookViewId="0">
      <pane ySplit="8" topLeftCell="A9" activePane="bottomLeft" state="frozen"/>
      <selection pane="bottomLeft" activeCell="B28" sqref="B28"/>
    </sheetView>
  </sheetViews>
  <sheetFormatPr defaultColWidth="9" defaultRowHeight="13.8"/>
  <cols>
    <col min="1" max="1" width="15.33203125" style="94" bestFit="1" customWidth="1"/>
    <col min="2" max="5" width="40.77734375" style="94" customWidth="1"/>
    <col min="6" max="7" width="10.77734375" style="94" customWidth="1"/>
    <col min="8" max="8" width="20.88671875" style="94" customWidth="1"/>
    <col min="9" max="9" width="8.109375" style="108" customWidth="1"/>
    <col min="10" max="10" width="7.77734375" style="94" bestFit="1" customWidth="1"/>
    <col min="11" max="257" width="9" style="94"/>
    <col min="258" max="16384" width="9" style="120"/>
  </cols>
  <sheetData>
    <row r="1" spans="1:10" s="95" customFormat="1" ht="13.2">
      <c r="A1" s="105"/>
      <c r="B1" s="105"/>
      <c r="C1" s="105"/>
      <c r="D1" s="105"/>
      <c r="E1" s="105"/>
      <c r="F1" s="106"/>
      <c r="G1" s="107"/>
      <c r="H1" s="94"/>
      <c r="I1" s="108"/>
    </row>
    <row r="2" spans="1:10" s="95" customFormat="1" ht="13.2">
      <c r="A2" s="109" t="s">
        <v>90</v>
      </c>
      <c r="B2" s="169" t="s">
        <v>86</v>
      </c>
      <c r="C2" s="169"/>
      <c r="D2" s="169"/>
      <c r="E2" s="169"/>
      <c r="F2" s="169"/>
      <c r="G2" s="169"/>
      <c r="H2" s="169"/>
      <c r="I2" s="108"/>
      <c r="J2" s="95" t="s">
        <v>91</v>
      </c>
    </row>
    <row r="3" spans="1:10" s="95" customFormat="1" ht="13.2">
      <c r="A3" s="110" t="s">
        <v>92</v>
      </c>
      <c r="B3" s="169" t="s">
        <v>131</v>
      </c>
      <c r="C3" s="169"/>
      <c r="D3" s="169"/>
      <c r="E3" s="169"/>
      <c r="F3" s="169"/>
      <c r="G3" s="169"/>
      <c r="H3" s="169"/>
      <c r="I3" s="108"/>
      <c r="J3" s="95" t="s">
        <v>94</v>
      </c>
    </row>
    <row r="4" spans="1:10" s="95" customFormat="1" ht="13.2">
      <c r="A4" s="109" t="s">
        <v>95</v>
      </c>
      <c r="B4" s="169"/>
      <c r="C4" s="169"/>
      <c r="D4" s="169"/>
      <c r="E4" s="169"/>
      <c r="F4" s="169"/>
      <c r="G4" s="169"/>
      <c r="H4" s="169"/>
      <c r="I4" s="108"/>
      <c r="J4" s="95" t="s">
        <v>96</v>
      </c>
    </row>
    <row r="5" spans="1:10" s="95" customFormat="1" ht="13.2">
      <c r="A5" s="118" t="s">
        <v>91</v>
      </c>
      <c r="B5" s="111" t="s">
        <v>94</v>
      </c>
      <c r="C5" s="111" t="s">
        <v>97</v>
      </c>
      <c r="D5" s="111" t="s">
        <v>96</v>
      </c>
      <c r="E5" s="112" t="s">
        <v>98</v>
      </c>
      <c r="F5" s="170" t="s">
        <v>99</v>
      </c>
      <c r="G5" s="170"/>
      <c r="H5" s="170"/>
      <c r="I5" s="113"/>
      <c r="J5" s="95" t="s">
        <v>97</v>
      </c>
    </row>
    <row r="6" spans="1:10" s="95" customFormat="1" ht="13.2">
      <c r="A6" s="119">
        <f>COUNTIF(F9:F996,"Passed")</f>
        <v>9</v>
      </c>
      <c r="B6" s="115">
        <f>COUNTIF(F9:F996,"Failed")</f>
        <v>0</v>
      </c>
      <c r="C6" s="115">
        <f>F6-E6-D6-B6-A6</f>
        <v>0</v>
      </c>
      <c r="D6" s="115">
        <f>COUNTIF(F$9:F$996,"Blocked")</f>
        <v>0</v>
      </c>
      <c r="E6" s="114">
        <f>COUNTIF(F$9:F$996,"Skipped")</f>
        <v>0</v>
      </c>
      <c r="F6" s="171">
        <f>COUNTA(A9:A996)</f>
        <v>9</v>
      </c>
      <c r="G6" s="171"/>
      <c r="H6" s="171"/>
      <c r="I6" s="113"/>
      <c r="J6" s="95" t="s">
        <v>98</v>
      </c>
    </row>
    <row r="7" spans="1:10" s="95" customFormat="1" ht="13.2">
      <c r="D7" s="116"/>
      <c r="E7" s="116"/>
      <c r="F7" s="116"/>
      <c r="G7" s="116"/>
      <c r="H7" s="116"/>
      <c r="I7" s="113"/>
    </row>
    <row r="8" spans="1:10" s="95" customFormat="1" ht="13.2">
      <c r="A8" s="45" t="s">
        <v>100</v>
      </c>
      <c r="B8" s="45" t="s">
        <v>101</v>
      </c>
      <c r="C8" s="45" t="s">
        <v>102</v>
      </c>
      <c r="D8" s="45" t="s">
        <v>103</v>
      </c>
      <c r="E8" s="45" t="s">
        <v>104</v>
      </c>
      <c r="F8" s="45" t="s">
        <v>105</v>
      </c>
      <c r="G8" s="45" t="s">
        <v>106</v>
      </c>
      <c r="H8" s="45" t="s">
        <v>25</v>
      </c>
      <c r="I8" s="117"/>
    </row>
    <row r="9" spans="1:10" s="95" customFormat="1" ht="13.2">
      <c r="A9" s="102"/>
      <c r="B9" s="102" t="s">
        <v>85</v>
      </c>
      <c r="C9" s="102"/>
      <c r="D9" s="102"/>
      <c r="E9" s="102"/>
      <c r="F9" s="102"/>
      <c r="G9" s="102"/>
      <c r="H9" s="102"/>
    </row>
    <row r="10" spans="1:10" s="93" customFormat="1" ht="26.4">
      <c r="A10" s="96" t="str">
        <f>IF(OR(B10&lt;&gt;"",D10&lt;&gt;""),"[" &amp;TEXT($B$2,"##")&amp;"-"&amp;TEXT(1,"00")&amp;"]","")</f>
        <v>[Module2-01]</v>
      </c>
      <c r="B10" s="97" t="s">
        <v>222</v>
      </c>
      <c r="C10" s="96" t="s">
        <v>224</v>
      </c>
      <c r="D10" s="96" t="s">
        <v>225</v>
      </c>
      <c r="E10" s="96"/>
      <c r="F10" s="96" t="s">
        <v>91</v>
      </c>
      <c r="G10" s="104" t="s">
        <v>8</v>
      </c>
      <c r="H10" s="96"/>
    </row>
    <row r="11" spans="1:10" s="93" customFormat="1" ht="52.8">
      <c r="A11" s="97" t="str">
        <f>IF(OR(B11&lt;&gt;"",D11&lt;&gt;""),"[" &amp;TEXT($B$2,"##")&amp;"-"&amp;TEXT(2,"00")&amp;"]","")</f>
        <v>[Module2-02]</v>
      </c>
      <c r="B11" s="96" t="s">
        <v>132</v>
      </c>
      <c r="C11" s="96" t="s">
        <v>223</v>
      </c>
      <c r="D11" s="96" t="s">
        <v>133</v>
      </c>
      <c r="E11" s="96"/>
      <c r="F11" s="96" t="s">
        <v>91</v>
      </c>
      <c r="G11" s="104" t="s">
        <v>8</v>
      </c>
      <c r="H11" s="96"/>
    </row>
    <row r="12" spans="1:10" ht="52.8">
      <c r="A12" s="97" t="str">
        <f>IF(OR(B12&lt;&gt;"",D12&lt;&gt;""),"[" &amp;TEXT($B$2,"##")&amp;"-"&amp;TEXT(3,"00")&amp;"]","")</f>
        <v>[Module2-03]</v>
      </c>
      <c r="B12" s="97" t="s">
        <v>134</v>
      </c>
      <c r="C12" s="97" t="s">
        <v>135</v>
      </c>
      <c r="D12" s="97" t="s">
        <v>136</v>
      </c>
      <c r="E12" s="97"/>
      <c r="F12" s="96" t="s">
        <v>91</v>
      </c>
      <c r="G12" s="104" t="s">
        <v>8</v>
      </c>
      <c r="H12" s="97"/>
    </row>
    <row r="13" spans="1:10" ht="39.6">
      <c r="A13" s="98" t="str">
        <f>IF(OR(B13&lt;&gt;"",D13&lt;&gt;""),"[" &amp;TEXT($B$2,"##")&amp;"-"&amp;TEXT(4,"00")&amp;"]","")</f>
        <v>[Module2-04]</v>
      </c>
      <c r="B13" s="97" t="s">
        <v>35</v>
      </c>
      <c r="C13" s="97" t="s">
        <v>137</v>
      </c>
      <c r="D13" s="97" t="s">
        <v>138</v>
      </c>
      <c r="E13" s="97"/>
      <c r="F13" s="96" t="s">
        <v>91</v>
      </c>
      <c r="G13" s="104" t="s">
        <v>8</v>
      </c>
      <c r="H13" s="97"/>
    </row>
    <row r="14" spans="1:10" s="95" customFormat="1" ht="39.6">
      <c r="A14" s="97" t="str">
        <f>IF(OR(B14&lt;&gt;"",D14&lt;&gt;""),"[" &amp;TEXT($B$2,"##")&amp;"-"&amp;TEXT(5,"00")&amp;"]","")</f>
        <v>[Module2-05]</v>
      </c>
      <c r="B14" s="98" t="s">
        <v>139</v>
      </c>
      <c r="C14" s="98" t="s">
        <v>140</v>
      </c>
      <c r="D14" s="98" t="s">
        <v>141</v>
      </c>
      <c r="E14" s="98" t="s">
        <v>142</v>
      </c>
      <c r="F14" s="96" t="s">
        <v>91</v>
      </c>
      <c r="G14" s="104" t="s">
        <v>8</v>
      </c>
      <c r="H14" s="98"/>
    </row>
    <row r="15" spans="1:10" ht="52.8">
      <c r="A15" s="97" t="str">
        <f>IF(OR(B15&lt;&gt;"",D15&lt;&gt;""),"[" &amp;TEXT($B$2,"##")&amp;"-"&amp;TEXT(6,"00")&amp;"]","")</f>
        <v>[Module2-06]</v>
      </c>
      <c r="B15" s="97" t="s">
        <v>143</v>
      </c>
      <c r="C15" s="97" t="s">
        <v>144</v>
      </c>
      <c r="D15" s="97" t="s">
        <v>145</v>
      </c>
      <c r="E15" s="97"/>
      <c r="F15" s="96" t="s">
        <v>91</v>
      </c>
      <c r="G15" s="104" t="s">
        <v>8</v>
      </c>
      <c r="H15" s="97"/>
    </row>
    <row r="16" spans="1:10" ht="39.6">
      <c r="A16" s="97" t="str">
        <f>IF(OR(B16&lt;&gt;"",D16&lt;&gt;""),"[" &amp;TEXT($B$2,"##")&amp;"-"&amp;TEXT(7,"00")&amp;"]","")</f>
        <v>[Module2-07]</v>
      </c>
      <c r="B16" s="97" t="s">
        <v>146</v>
      </c>
      <c r="C16" s="97" t="s">
        <v>147</v>
      </c>
      <c r="D16" s="97" t="s">
        <v>148</v>
      </c>
      <c r="E16" s="97" t="s">
        <v>149</v>
      </c>
      <c r="F16" s="96" t="s">
        <v>91</v>
      </c>
      <c r="G16" s="104" t="s">
        <v>8</v>
      </c>
      <c r="H16" s="97"/>
    </row>
    <row r="17" spans="1:8" ht="39.6">
      <c r="A17" s="97" t="str">
        <f>IF(OR(B17&lt;&gt;"",D17&lt;&gt;""),"[" &amp;TEXT($B$2,"##")&amp;"-"&amp;TEXT(8,"00")&amp;"]","")</f>
        <v>[Module2-08]</v>
      </c>
      <c r="B17" s="97" t="s">
        <v>40</v>
      </c>
      <c r="C17" s="97" t="s">
        <v>150</v>
      </c>
      <c r="D17" s="97" t="s">
        <v>151</v>
      </c>
      <c r="E17" s="97"/>
      <c r="F17" s="96" t="s">
        <v>91</v>
      </c>
      <c r="G17" s="104" t="s">
        <v>8</v>
      </c>
      <c r="H17" s="97"/>
    </row>
    <row r="18" spans="1:8" ht="39.6">
      <c r="A18" s="97" t="str">
        <f>IF(OR(B18&lt;&gt;"",D18&lt;&gt;""),"[" &amp;TEXT($B$2,"##")&amp;"-"&amp;TEXT(9,"00")&amp;"]","")</f>
        <v>[Module2-09]</v>
      </c>
      <c r="B18" s="97" t="s">
        <v>41</v>
      </c>
      <c r="C18" s="97" t="s">
        <v>152</v>
      </c>
      <c r="D18" s="97" t="s">
        <v>153</v>
      </c>
      <c r="E18" s="97"/>
      <c r="F18" s="96" t="s">
        <v>91</v>
      </c>
      <c r="G18" s="104" t="s">
        <v>8</v>
      </c>
      <c r="H18" s="97"/>
    </row>
  </sheetData>
  <mergeCells count="5">
    <mergeCell ref="B2:H2"/>
    <mergeCell ref="B3:H3"/>
    <mergeCell ref="B4:H4"/>
    <mergeCell ref="F5:H5"/>
    <mergeCell ref="F6:H6"/>
  </mergeCells>
  <dataValidations count="1">
    <dataValidation type="list" allowBlank="1" showErrorMessage="1" sqref="F1 F7:F144" xr:uid="{00000000-0002-0000-0400-000000000000}">
      <formula1>$J$2:$J$6</formula1>
      <formula2>0</formula2>
    </dataValidation>
  </dataValidations>
  <pageMargins left="0.74791666666666701" right="0.25" top="0.75" bottom="0.98402777777777795" header="0.5" footer="0.5"/>
  <pageSetup paperSize="9" orientation="landscape" horizontalDpi="300" verticalDpi="300"/>
  <headerFooter>
    <oddHeader>&amp;LFacilitate_Test Case\Company&amp;Rv1.0</oddHeader>
    <oddFooter>&amp;L&amp;"Tahoma,Regular"&amp;8 02ae-BM/PM/HDCV/FSOFT v2/0&amp;C&amp;"Tahoma,Regular"&amp;10 Internal use&amp;R&amp;"tahoma,Regular"&amp;8 &amp;P/&amp;N</oddFooter>
  </headerFooter>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W30"/>
  <sheetViews>
    <sheetView zoomScale="85" zoomScaleNormal="85" workbookViewId="0"/>
  </sheetViews>
  <sheetFormatPr defaultColWidth="9" defaultRowHeight="13.8"/>
  <cols>
    <col min="1" max="1" width="11.6640625" style="3" bestFit="1" customWidth="1"/>
    <col min="2" max="5" width="40.77734375" style="3" customWidth="1"/>
    <col min="6" max="7" width="10.77734375" style="3" customWidth="1"/>
    <col min="8" max="8" width="20.88671875" style="3" customWidth="1"/>
    <col min="9" max="9" width="8.109375" style="24" customWidth="1"/>
    <col min="10" max="10" width="9" style="3" hidden="1"/>
    <col min="11" max="257" width="9" style="3"/>
  </cols>
  <sheetData>
    <row r="1" spans="1:10" s="30" customFormat="1" ht="13.5" customHeight="1">
      <c r="A1" s="25"/>
      <c r="B1" s="26"/>
      <c r="C1" s="26"/>
      <c r="D1" s="26"/>
      <c r="E1" s="26"/>
      <c r="F1" s="27"/>
      <c r="G1" s="28"/>
      <c r="H1" s="10"/>
      <c r="I1" s="29"/>
    </row>
    <row r="2" spans="1:10" s="30" customFormat="1" ht="15" customHeight="1">
      <c r="A2" s="31" t="s">
        <v>90</v>
      </c>
      <c r="B2" s="166" t="s">
        <v>88</v>
      </c>
      <c r="C2" s="166"/>
      <c r="D2" s="166"/>
      <c r="E2" s="166"/>
      <c r="F2" s="166"/>
      <c r="G2" s="166"/>
      <c r="H2" s="166"/>
      <c r="I2" s="29"/>
      <c r="J2" s="30" t="s">
        <v>91</v>
      </c>
    </row>
    <row r="3" spans="1:10" s="30" customFormat="1" ht="25.5" customHeight="1">
      <c r="A3" s="32" t="s">
        <v>92</v>
      </c>
      <c r="B3" s="166" t="s">
        <v>154</v>
      </c>
      <c r="C3" s="166"/>
      <c r="D3" s="166"/>
      <c r="E3" s="166"/>
      <c r="F3" s="166"/>
      <c r="G3" s="166"/>
      <c r="H3" s="166"/>
      <c r="I3" s="29"/>
      <c r="J3" s="30" t="s">
        <v>94</v>
      </c>
    </row>
    <row r="4" spans="1:10" s="30" customFormat="1" ht="18" customHeight="1">
      <c r="A4" s="31" t="s">
        <v>95</v>
      </c>
      <c r="B4" s="166"/>
      <c r="C4" s="166"/>
      <c r="D4" s="166"/>
      <c r="E4" s="166"/>
      <c r="F4" s="166"/>
      <c r="G4" s="166"/>
      <c r="H4" s="166"/>
      <c r="I4" s="29"/>
      <c r="J4" s="30" t="s">
        <v>96</v>
      </c>
    </row>
    <row r="5" spans="1:10" s="30" customFormat="1" ht="19.5" customHeight="1">
      <c r="A5" s="33" t="s">
        <v>91</v>
      </c>
      <c r="B5" s="2" t="s">
        <v>94</v>
      </c>
      <c r="C5" s="2" t="s">
        <v>97</v>
      </c>
      <c r="D5" s="2" t="s">
        <v>96</v>
      </c>
      <c r="E5" s="34" t="s">
        <v>98</v>
      </c>
      <c r="F5" s="167" t="s">
        <v>99</v>
      </c>
      <c r="G5" s="167"/>
      <c r="H5" s="167"/>
      <c r="I5" s="35"/>
      <c r="J5" s="30" t="s">
        <v>97</v>
      </c>
    </row>
    <row r="6" spans="1:10" s="30" customFormat="1" ht="15" customHeight="1">
      <c r="A6" s="36">
        <f>COUNTIF(F9:F996,"Passed")</f>
        <v>18</v>
      </c>
      <c r="B6" s="37">
        <f>COUNTIF(F9:F996,"Failed")</f>
        <v>0</v>
      </c>
      <c r="C6" s="37">
        <f>F6-E6-D6-B6-A6</f>
        <v>0</v>
      </c>
      <c r="D6" s="37">
        <f>COUNTIF(F$9:F$996,"Blocked")</f>
        <v>0</v>
      </c>
      <c r="E6" s="38">
        <f>COUNTIF(F$9:F$996,"Skipped")</f>
        <v>0</v>
      </c>
      <c r="F6" s="168">
        <f>COUNTA(A9:A996)</f>
        <v>18</v>
      </c>
      <c r="G6" s="168"/>
      <c r="H6" s="168"/>
      <c r="I6" s="35"/>
      <c r="J6" s="30" t="s">
        <v>98</v>
      </c>
    </row>
    <row r="7" spans="1:10" s="30" customFormat="1" ht="15" customHeight="1">
      <c r="D7" s="39"/>
      <c r="E7" s="39"/>
      <c r="F7" s="39"/>
      <c r="G7" s="39"/>
      <c r="H7" s="39"/>
      <c r="I7" s="35"/>
    </row>
    <row r="8" spans="1:10" s="30" customFormat="1" ht="13.2">
      <c r="A8" s="45" t="s">
        <v>100</v>
      </c>
      <c r="B8" s="45" t="s">
        <v>101</v>
      </c>
      <c r="C8" s="45" t="s">
        <v>102</v>
      </c>
      <c r="D8" s="45" t="s">
        <v>103</v>
      </c>
      <c r="E8" s="45" t="s">
        <v>104</v>
      </c>
      <c r="F8" s="45" t="s">
        <v>105</v>
      </c>
      <c r="G8" s="45" t="s">
        <v>106</v>
      </c>
      <c r="H8" s="45" t="s">
        <v>25</v>
      </c>
      <c r="I8" s="41"/>
    </row>
    <row r="9" spans="1:10" s="30" customFormat="1" ht="13.2">
      <c r="A9" s="102"/>
      <c r="B9" s="102" t="s">
        <v>87</v>
      </c>
      <c r="C9" s="102"/>
      <c r="D9" s="102"/>
      <c r="E9" s="102"/>
      <c r="F9" s="102"/>
      <c r="G9" s="102"/>
      <c r="H9" s="102"/>
    </row>
    <row r="10" spans="1:10" s="42" customFormat="1" ht="52.8">
      <c r="A10" s="96" t="str">
        <f>IF(OR(B10&lt;&gt;"",D10&lt;&gt;""),"[" &amp;TEXT($B$2,"##")&amp;"-"&amp;TEXT(1,"00")&amp;"]","")</f>
        <v>[Module3-01]</v>
      </c>
      <c r="B10" s="96" t="s">
        <v>42</v>
      </c>
      <c r="C10" s="96" t="s">
        <v>212</v>
      </c>
      <c r="D10" s="96" t="s">
        <v>155</v>
      </c>
      <c r="E10" s="96" t="s">
        <v>156</v>
      </c>
      <c r="F10" s="96" t="s">
        <v>91</v>
      </c>
      <c r="G10" s="104" t="s">
        <v>8</v>
      </c>
      <c r="H10" s="96"/>
    </row>
    <row r="11" spans="1:10" ht="52.8">
      <c r="A11" s="97" t="str">
        <f>IF(OR(B11&lt;&gt;"",D11&lt;&gt;""),"[" &amp;TEXT($B$2,"##")&amp;"-"&amp;TEXT(2,"00")&amp;"]","")</f>
        <v>[Module3-02]</v>
      </c>
      <c r="B11" s="97" t="s">
        <v>43</v>
      </c>
      <c r="C11" s="97" t="s">
        <v>213</v>
      </c>
      <c r="D11" s="97" t="s">
        <v>214</v>
      </c>
      <c r="E11" s="97" t="s">
        <v>157</v>
      </c>
      <c r="F11" s="96" t="s">
        <v>91</v>
      </c>
      <c r="G11" s="104" t="s">
        <v>8</v>
      </c>
      <c r="H11" s="97"/>
    </row>
    <row r="12" spans="1:10" ht="26.4">
      <c r="A12" s="97" t="str">
        <f>IF(OR(B12&lt;&gt;"",D12&lt;&gt;""),"[" &amp;TEXT($B$2,"##")&amp;"-"&amp;TEXT(3,"00")&amp;"]","")</f>
        <v>[Module3-03]</v>
      </c>
      <c r="B12" s="97" t="s">
        <v>44</v>
      </c>
      <c r="C12" s="97" t="s">
        <v>158</v>
      </c>
      <c r="D12" s="97" t="s">
        <v>159</v>
      </c>
      <c r="E12" s="97"/>
      <c r="F12" s="96" t="s">
        <v>91</v>
      </c>
      <c r="G12" s="104" t="s">
        <v>8</v>
      </c>
      <c r="H12" s="97"/>
    </row>
    <row r="13" spans="1:10" s="30" customFormat="1" ht="26.4">
      <c r="A13" s="98" t="str">
        <f>IF(OR(B13&lt;&gt;"",D13&lt;&gt;""),"[" &amp;TEXT($B$2,"##")&amp;"-"&amp;TEXT(4,"00")&amp;"]","")</f>
        <v>[Module3-04]</v>
      </c>
      <c r="B13" s="98" t="s">
        <v>45</v>
      </c>
      <c r="C13" s="98" t="s">
        <v>160</v>
      </c>
      <c r="D13" s="98" t="s">
        <v>159</v>
      </c>
      <c r="E13" s="98"/>
      <c r="F13" s="96" t="s">
        <v>91</v>
      </c>
      <c r="G13" s="104" t="s">
        <v>8</v>
      </c>
      <c r="H13" s="98"/>
    </row>
    <row r="14" spans="1:10" ht="39.6">
      <c r="A14" s="97" t="str">
        <f>IF(OR(B14&lt;&gt;"",D14&lt;&gt;""),"[" &amp;TEXT($B$2,"##")&amp;"-"&amp;TEXT(5,"00")&amp;"]","")</f>
        <v>[Module3-05]</v>
      </c>
      <c r="B14" s="97" t="s">
        <v>161</v>
      </c>
      <c r="C14" s="97" t="s">
        <v>162</v>
      </c>
      <c r="D14" s="97" t="s">
        <v>163</v>
      </c>
      <c r="E14" s="97" t="s">
        <v>215</v>
      </c>
      <c r="F14" s="96" t="s">
        <v>91</v>
      </c>
      <c r="G14" s="104" t="s">
        <v>8</v>
      </c>
      <c r="H14" s="97"/>
    </row>
    <row r="15" spans="1:10">
      <c r="A15" s="103"/>
      <c r="B15" s="103" t="s">
        <v>48</v>
      </c>
      <c r="C15" s="103"/>
      <c r="D15" s="103"/>
      <c r="E15" s="103"/>
      <c r="F15" s="103"/>
      <c r="G15" s="103"/>
      <c r="H15" s="103"/>
    </row>
    <row r="16" spans="1:10" ht="52.8">
      <c r="A16" s="97" t="str">
        <f>IF(OR(B16&lt;&gt;"",D16&lt;&gt;""),"[" &amp;TEXT($B$2,"##")&amp;"-"&amp;TEXT(6,"00")&amp;"]","")</f>
        <v>[Module3-06]</v>
      </c>
      <c r="B16" s="97" t="s">
        <v>49</v>
      </c>
      <c r="C16" s="97" t="s">
        <v>216</v>
      </c>
      <c r="D16" s="97" t="s">
        <v>164</v>
      </c>
      <c r="E16" s="97" t="s">
        <v>165</v>
      </c>
      <c r="F16" s="96" t="s">
        <v>91</v>
      </c>
      <c r="G16" s="104" t="s">
        <v>8</v>
      </c>
      <c r="H16" s="97"/>
    </row>
    <row r="17" spans="1:8" ht="39.6">
      <c r="A17" s="97" t="str">
        <f>IF(OR(B17&lt;&gt;"",D17&lt;&gt;""),"[" &amp;TEXT($B$2,"##")&amp;"-"&amp;TEXT(7,"00")&amp;"]","")</f>
        <v>[Module3-07]</v>
      </c>
      <c r="B17" s="97" t="s">
        <v>51</v>
      </c>
      <c r="C17" s="97" t="s">
        <v>166</v>
      </c>
      <c r="D17" s="97" t="s">
        <v>167</v>
      </c>
      <c r="E17" s="97"/>
      <c r="F17" s="96" t="s">
        <v>91</v>
      </c>
      <c r="G17" s="104" t="s">
        <v>8</v>
      </c>
      <c r="H17" s="97"/>
    </row>
    <row r="18" spans="1:8" ht="26.4">
      <c r="A18" s="97" t="str">
        <f>IF(OR(B18&lt;&gt;"",D18&lt;&gt;""),"[" &amp;TEXT($B$2,"##")&amp;"-"&amp;TEXT(8,"00")&amp;"]","")</f>
        <v>[Module3-08]</v>
      </c>
      <c r="B18" s="97" t="s">
        <v>35</v>
      </c>
      <c r="C18" s="97" t="s">
        <v>168</v>
      </c>
      <c r="D18" s="97" t="s">
        <v>169</v>
      </c>
      <c r="E18" s="97"/>
      <c r="F18" s="96" t="s">
        <v>91</v>
      </c>
      <c r="G18" s="104" t="s">
        <v>8</v>
      </c>
      <c r="H18" s="97"/>
    </row>
    <row r="19" spans="1:8">
      <c r="A19" s="103"/>
      <c r="B19" s="103" t="s">
        <v>53</v>
      </c>
      <c r="C19" s="103"/>
      <c r="D19" s="103"/>
      <c r="E19" s="103"/>
      <c r="F19" s="103"/>
      <c r="G19" s="103"/>
      <c r="H19" s="103"/>
    </row>
    <row r="20" spans="1:8" ht="66">
      <c r="A20" s="97" t="str">
        <f>IF(OR(B20&lt;&gt;"",D20&lt;&gt;""),"[" &amp;TEXT($B$2,"##")&amp;"-"&amp;TEXT(9,"00")&amp;"]","")</f>
        <v>[Module3-09]</v>
      </c>
      <c r="B20" s="97" t="s">
        <v>54</v>
      </c>
      <c r="C20" s="97" t="s">
        <v>170</v>
      </c>
      <c r="D20" s="97" t="s">
        <v>171</v>
      </c>
      <c r="E20" s="97" t="s">
        <v>172</v>
      </c>
      <c r="F20" s="96" t="s">
        <v>91</v>
      </c>
      <c r="G20" s="104" t="s">
        <v>8</v>
      </c>
      <c r="H20" s="97"/>
    </row>
    <row r="21" spans="1:8" ht="26.4">
      <c r="A21" s="97" t="str">
        <f>IF(OR(B21&lt;&gt;"",D21&lt;&gt;""),"[" &amp;TEXT($B$2,"##")&amp;"-"&amp;TEXT(10,"00")&amp;"]","")</f>
        <v>[Module3-10]</v>
      </c>
      <c r="B21" s="97" t="s">
        <v>55</v>
      </c>
      <c r="C21" s="97" t="s">
        <v>217</v>
      </c>
      <c r="D21" s="97" t="s">
        <v>173</v>
      </c>
      <c r="E21" s="97" t="s">
        <v>218</v>
      </c>
      <c r="F21" s="96" t="s">
        <v>91</v>
      </c>
      <c r="G21" s="104" t="s">
        <v>8</v>
      </c>
      <c r="H21" s="97"/>
    </row>
    <row r="22" spans="1:8" ht="39.6">
      <c r="A22" s="97" t="str">
        <f>IF(OR(B22&lt;&gt;"",D22&lt;&gt;""),"[" &amp;TEXT($B$2,"##")&amp;"-"&amp;TEXT(11,"00")&amp;"]","")</f>
        <v>[Module3-11]</v>
      </c>
      <c r="B22" s="97" t="s">
        <v>56</v>
      </c>
      <c r="C22" s="97" t="s">
        <v>174</v>
      </c>
      <c r="D22" s="97" t="s">
        <v>151</v>
      </c>
      <c r="E22" s="97"/>
      <c r="F22" s="96" t="s">
        <v>91</v>
      </c>
      <c r="G22" s="104" t="s">
        <v>8</v>
      </c>
      <c r="H22" s="97"/>
    </row>
    <row r="23" spans="1:8" ht="52.8">
      <c r="A23" s="97" t="str">
        <f>IF(OR(B23&lt;&gt;"",D23&lt;&gt;""),"[" &amp;TEXT($B$2,"##")&amp;"-"&amp;TEXT(12,"00")&amp;"]","")</f>
        <v>[Module3-12]</v>
      </c>
      <c r="B23" s="97" t="s">
        <v>41</v>
      </c>
      <c r="C23" s="97" t="s">
        <v>175</v>
      </c>
      <c r="D23" s="97" t="s">
        <v>153</v>
      </c>
      <c r="E23" s="97"/>
      <c r="F23" s="96" t="s">
        <v>91</v>
      </c>
      <c r="G23" s="104" t="s">
        <v>8</v>
      </c>
      <c r="H23" s="97"/>
    </row>
    <row r="24" spans="1:8" ht="39.6">
      <c r="A24" s="97" t="str">
        <f>IF(OR(B24&lt;&gt;"",D24&lt;&gt;""),"[" &amp;TEXT($B$2,"##")&amp;"-"&amp;TEXT(13,"00")&amp;"]","")</f>
        <v>[Module3-13]</v>
      </c>
      <c r="B24" s="97" t="s">
        <v>57</v>
      </c>
      <c r="C24" s="97" t="s">
        <v>176</v>
      </c>
      <c r="D24" s="97" t="s">
        <v>177</v>
      </c>
      <c r="E24" s="97" t="s">
        <v>178</v>
      </c>
      <c r="F24" s="96" t="s">
        <v>91</v>
      </c>
      <c r="G24" s="104" t="s">
        <v>8</v>
      </c>
      <c r="H24" s="97"/>
    </row>
    <row r="25" spans="1:8">
      <c r="A25" s="103"/>
      <c r="B25" s="103" t="s">
        <v>89</v>
      </c>
      <c r="C25" s="103"/>
      <c r="D25" s="103"/>
      <c r="E25" s="103"/>
      <c r="F25" s="103"/>
      <c r="G25" s="103"/>
      <c r="H25" s="103"/>
    </row>
    <row r="26" spans="1:8" ht="66">
      <c r="A26" s="97" t="str">
        <f>IF(OR(B26&lt;&gt;"",D26&lt;&gt;""),"[" &amp;TEXT($B$2,"##")&amp;"-"&amp;TEXT(14,"00")&amp;"]","")</f>
        <v>[Module3-14]</v>
      </c>
      <c r="B26" s="97" t="s">
        <v>59</v>
      </c>
      <c r="C26" s="97" t="s">
        <v>179</v>
      </c>
      <c r="D26" s="97" t="s">
        <v>219</v>
      </c>
      <c r="E26" s="97"/>
      <c r="F26" s="96" t="s">
        <v>91</v>
      </c>
      <c r="G26" s="104" t="s">
        <v>8</v>
      </c>
      <c r="H26" s="97"/>
    </row>
    <row r="27" spans="1:8" ht="39.6">
      <c r="A27" s="97" t="str">
        <f>IF(OR(B27&lt;&gt;"",D27&lt;&gt;""),"[" &amp;TEXT($B$2,"##")&amp;"-"&amp;TEXT(15,"00")&amp;"]","")</f>
        <v>[Module3-15]</v>
      </c>
      <c r="B27" s="97" t="s">
        <v>60</v>
      </c>
      <c r="C27" s="97" t="s">
        <v>180</v>
      </c>
      <c r="D27" s="97" t="s">
        <v>181</v>
      </c>
      <c r="E27" s="97"/>
      <c r="F27" s="96" t="s">
        <v>91</v>
      </c>
      <c r="G27" s="104" t="s">
        <v>8</v>
      </c>
      <c r="H27" s="97"/>
    </row>
    <row r="28" spans="1:8" ht="39.6">
      <c r="A28" s="97" t="str">
        <f>IF(OR(B28&lt;&gt;"",D28&lt;&gt;""),"[" &amp;TEXT($B$2,"##")&amp;"-"&amp;TEXT(16,"00")&amp;"]","")</f>
        <v>[Module3-16]</v>
      </c>
      <c r="B28" s="97" t="s">
        <v>56</v>
      </c>
      <c r="C28" s="97" t="s">
        <v>182</v>
      </c>
      <c r="D28" s="97" t="s">
        <v>183</v>
      </c>
      <c r="E28" s="97"/>
      <c r="F28" s="96" t="s">
        <v>91</v>
      </c>
      <c r="G28" s="104" t="s">
        <v>8</v>
      </c>
      <c r="H28" s="97"/>
    </row>
    <row r="29" spans="1:8" ht="52.8">
      <c r="A29" s="97" t="str">
        <f>IF(OR(B29&lt;&gt;"",D29&lt;&gt;""),"[" &amp;TEXT($B$2,"##")&amp;"-"&amp;TEXT(17,"00")&amp;"]","")</f>
        <v>[Module3-17]</v>
      </c>
      <c r="B29" s="97" t="s">
        <v>61</v>
      </c>
      <c r="C29" s="97" t="s">
        <v>184</v>
      </c>
      <c r="D29" s="97" t="s">
        <v>153</v>
      </c>
      <c r="E29" s="97"/>
      <c r="F29" s="96" t="s">
        <v>91</v>
      </c>
      <c r="G29" s="104" t="s">
        <v>8</v>
      </c>
      <c r="H29" s="97"/>
    </row>
    <row r="30" spans="1:8" ht="39.6">
      <c r="A30" s="97" t="str">
        <f>IF(OR(B30&lt;&gt;"",D30&lt;&gt;""),"[" &amp;TEXT($B$2,"##")&amp;"-"&amp;TEXT(18,"00")&amp;"]","")</f>
        <v>[Module3-18]</v>
      </c>
      <c r="B30" s="97" t="s">
        <v>62</v>
      </c>
      <c r="C30" s="97" t="s">
        <v>185</v>
      </c>
      <c r="D30" s="97" t="s">
        <v>186</v>
      </c>
      <c r="E30" s="97"/>
      <c r="F30" s="96" t="s">
        <v>91</v>
      </c>
      <c r="G30" s="104" t="s">
        <v>8</v>
      </c>
      <c r="H30" s="97"/>
    </row>
  </sheetData>
  <mergeCells count="5">
    <mergeCell ref="B2:H2"/>
    <mergeCell ref="B3:H3"/>
    <mergeCell ref="B4:H4"/>
    <mergeCell ref="F5:H5"/>
    <mergeCell ref="F6:H6"/>
  </mergeCells>
  <phoneticPr fontId="14" type="noConversion"/>
  <dataValidations count="1">
    <dataValidation type="list" allowBlank="1" showErrorMessage="1" sqref="F10:F14 F16:F18 F20:F24 F26:F30" xr:uid="{05B756E0-EA2D-4575-8D51-B9EA8B67566E}">
      <formula1>$J$2:$J$6</formula1>
      <formula2>0</formula2>
    </dataValidation>
  </dataValidations>
  <pageMargins left="0.74791666666666701" right="0.25" top="0.75" bottom="0.98402777777777795" header="0.511811023622047" footer="0.511811023622047"/>
  <pageSetup paperSize="9" orientation="landscape" horizontalDpi="300" verticalDpi="300"/>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W17"/>
  <sheetViews>
    <sheetView tabSelected="1" zoomScaleNormal="100" workbookViewId="0">
      <selection activeCell="E25" sqref="E25"/>
    </sheetView>
  </sheetViews>
  <sheetFormatPr defaultColWidth="9" defaultRowHeight="13.8"/>
  <cols>
    <col min="1" max="1" width="9" style="58"/>
    <col min="2" max="2" width="13.44140625" style="58" customWidth="1"/>
    <col min="3" max="3" width="19.33203125" style="58" customWidth="1"/>
    <col min="4" max="7" width="9" style="58"/>
    <col min="8" max="8" width="9.109375" style="58" customWidth="1"/>
    <col min="9" max="9" width="23.44140625" style="58" customWidth="1"/>
    <col min="10" max="257" width="9" style="58"/>
    <col min="258" max="16384" width="9" style="50"/>
  </cols>
  <sheetData>
    <row r="1" spans="1:9" ht="25.5" customHeight="1">
      <c r="B1" s="155" t="s">
        <v>187</v>
      </c>
      <c r="C1" s="155"/>
      <c r="D1" s="155"/>
      <c r="E1" s="155"/>
      <c r="F1" s="155"/>
      <c r="G1" s="155"/>
      <c r="H1" s="155"/>
    </row>
    <row r="2" spans="1:9" ht="14.25" customHeight="1">
      <c r="A2" s="123"/>
      <c r="B2" s="123"/>
      <c r="H2" s="124"/>
    </row>
    <row r="3" spans="1:9" ht="12" customHeight="1">
      <c r="B3" s="61" t="s">
        <v>1</v>
      </c>
      <c r="C3" s="149" t="s">
        <v>2</v>
      </c>
      <c r="D3" s="149"/>
      <c r="E3" s="150" t="s">
        <v>3</v>
      </c>
      <c r="F3" s="150"/>
      <c r="G3" s="156" t="s">
        <v>5</v>
      </c>
      <c r="H3" s="157"/>
    </row>
    <row r="4" spans="1:9" ht="12" customHeight="1">
      <c r="B4" s="61" t="s">
        <v>4</v>
      </c>
      <c r="C4" s="149" t="s">
        <v>198</v>
      </c>
      <c r="D4" s="149"/>
      <c r="E4" s="150" t="s">
        <v>6</v>
      </c>
      <c r="F4" s="150"/>
      <c r="G4" s="125" t="s">
        <v>220</v>
      </c>
      <c r="H4" s="126"/>
    </row>
    <row r="5" spans="1:9" ht="12" customHeight="1">
      <c r="B5" s="127" t="s">
        <v>7</v>
      </c>
      <c r="C5" s="149" t="str">
        <f>C4&amp;"_"&amp;"CN1_TestCase"&amp;"_"&amp;"v1.0"</f>
        <v>Lab301x_CN1_TestCase_v1.0</v>
      </c>
      <c r="D5" s="149"/>
      <c r="E5" s="150" t="s">
        <v>188</v>
      </c>
      <c r="F5" s="150"/>
      <c r="G5" s="153" t="s">
        <v>8</v>
      </c>
      <c r="H5" s="154"/>
    </row>
    <row r="6" spans="1:9" ht="28.8" customHeight="1">
      <c r="A6" s="123"/>
      <c r="B6" s="127" t="s">
        <v>189</v>
      </c>
      <c r="C6" s="151" t="s">
        <v>221</v>
      </c>
      <c r="D6" s="151"/>
      <c r="E6" s="151"/>
      <c r="F6" s="151"/>
      <c r="G6" s="152"/>
      <c r="H6" s="151"/>
    </row>
    <row r="7" spans="1:9" ht="14.25" customHeight="1">
      <c r="A7" s="123"/>
      <c r="B7" s="64"/>
      <c r="C7" s="128"/>
      <c r="G7" s="124"/>
      <c r="H7" s="124"/>
    </row>
    <row r="8" spans="1:9" ht="12.75" customHeight="1">
      <c r="B8" s="64"/>
      <c r="C8" s="128"/>
      <c r="H8" s="124"/>
    </row>
    <row r="9" spans="1:9" ht="13.5" customHeight="1">
      <c r="B9" s="143" t="s">
        <v>77</v>
      </c>
      <c r="C9" s="129" t="s">
        <v>190</v>
      </c>
      <c r="D9" s="130" t="s">
        <v>191</v>
      </c>
      <c r="E9" s="129" t="s">
        <v>192</v>
      </c>
      <c r="F9" s="129" t="s">
        <v>97</v>
      </c>
      <c r="G9" s="131" t="s">
        <v>96</v>
      </c>
      <c r="H9" s="132" t="s">
        <v>98</v>
      </c>
      <c r="I9" s="144" t="s">
        <v>193</v>
      </c>
    </row>
    <row r="10" spans="1:9" ht="12.75" customHeight="1">
      <c r="B10" s="145">
        <v>1</v>
      </c>
      <c r="C10" s="133" t="str">
        <f>Module1!B2</f>
        <v>Module1</v>
      </c>
      <c r="D10" s="134">
        <f>Module1!A6</f>
        <v>11</v>
      </c>
      <c r="E10" s="134">
        <f>Module1!B6</f>
        <v>0</v>
      </c>
      <c r="F10" s="134">
        <f>Module1!C6</f>
        <v>0</v>
      </c>
      <c r="G10" s="134">
        <f>Module1!D6</f>
        <v>0</v>
      </c>
      <c r="H10" s="134">
        <f>Module1!E6</f>
        <v>0</v>
      </c>
      <c r="I10" s="146">
        <f>Module1!F6</f>
        <v>11</v>
      </c>
    </row>
    <row r="11" spans="1:9" ht="12.75" customHeight="1">
      <c r="B11" s="145">
        <v>2</v>
      </c>
      <c r="C11" s="133" t="str">
        <f>Module2!B2</f>
        <v>Module2</v>
      </c>
      <c r="D11" s="134">
        <f>Module2!A6</f>
        <v>9</v>
      </c>
      <c r="E11" s="134">
        <f>Module2!B6</f>
        <v>0</v>
      </c>
      <c r="F11" s="134">
        <f>Module2!C6</f>
        <v>0</v>
      </c>
      <c r="G11" s="134">
        <f>Module2!D6</f>
        <v>0</v>
      </c>
      <c r="H11" s="134">
        <f>Module2!E6</f>
        <v>0</v>
      </c>
      <c r="I11" s="146">
        <f>Module2!F6</f>
        <v>9</v>
      </c>
    </row>
    <row r="12" spans="1:9">
      <c r="B12" s="145">
        <v>3</v>
      </c>
      <c r="C12" s="133" t="str">
        <f>Module3!B2</f>
        <v>Module3</v>
      </c>
      <c r="D12" s="134">
        <f>Module3!A6</f>
        <v>18</v>
      </c>
      <c r="E12" s="134">
        <f>Module3!B6</f>
        <v>0</v>
      </c>
      <c r="F12" s="134">
        <f>Module3!C6</f>
        <v>0</v>
      </c>
      <c r="G12" s="134">
        <f>Module3!D6</f>
        <v>0</v>
      </c>
      <c r="H12" s="134">
        <f>Module3!E6</f>
        <v>0</v>
      </c>
      <c r="I12" s="146">
        <f>Module3!F6</f>
        <v>18</v>
      </c>
    </row>
    <row r="13" spans="1:9" ht="12.75" customHeight="1">
      <c r="B13" s="147"/>
      <c r="C13" s="135" t="s">
        <v>194</v>
      </c>
      <c r="D13" s="136">
        <f t="shared" ref="D13:I13" si="0">SUM(D8:D12)</f>
        <v>38</v>
      </c>
      <c r="E13" s="136">
        <f t="shared" si="0"/>
        <v>0</v>
      </c>
      <c r="F13" s="136">
        <f t="shared" si="0"/>
        <v>0</v>
      </c>
      <c r="G13" s="136">
        <f t="shared" si="0"/>
        <v>0</v>
      </c>
      <c r="H13" s="137">
        <f t="shared" si="0"/>
        <v>0</v>
      </c>
      <c r="I13" s="148">
        <f t="shared" si="0"/>
        <v>38</v>
      </c>
    </row>
    <row r="14" spans="1:9" ht="12.75" customHeight="1">
      <c r="B14" s="138"/>
      <c r="D14" s="139"/>
      <c r="E14" s="140"/>
      <c r="F14" s="140"/>
      <c r="G14" s="140"/>
      <c r="H14" s="140"/>
    </row>
    <row r="15" spans="1:9" ht="12.75" customHeight="1">
      <c r="C15" s="141" t="s">
        <v>195</v>
      </c>
      <c r="E15" s="142">
        <f>IFERROR((D13+E13)*100/(I13-H13-G13),0)</f>
        <v>100</v>
      </c>
      <c r="F15" s="58" t="s">
        <v>196</v>
      </c>
      <c r="H15" s="116"/>
    </row>
    <row r="16" spans="1:9" ht="12.75" customHeight="1">
      <c r="C16" s="141" t="s">
        <v>197</v>
      </c>
      <c r="E16" s="142">
        <f>IFERROR(D13*100/(D13+E13),0)</f>
        <v>100</v>
      </c>
      <c r="F16" s="58" t="s">
        <v>196</v>
      </c>
      <c r="H16" s="116"/>
    </row>
    <row r="17" ht="12.75" customHeight="1"/>
  </sheetData>
  <mergeCells count="10">
    <mergeCell ref="C5:D5"/>
    <mergeCell ref="E5:F5"/>
    <mergeCell ref="C6:H6"/>
    <mergeCell ref="G5:H5"/>
    <mergeCell ref="B1:H1"/>
    <mergeCell ref="C3:D3"/>
    <mergeCell ref="E3:F3"/>
    <mergeCell ref="C4:D4"/>
    <mergeCell ref="E4:F4"/>
    <mergeCell ref="G3:H3"/>
  </mergeCells>
  <pageMargins left="0.74791666666666701" right="0.74791666666666701" top="0.98402777777777795" bottom="0.98402777777777795" header="0.511811023622047" footer="0.5"/>
  <pageSetup orientation="landscape" horizontalDpi="300" verticalDpi="300"/>
  <headerFooter>
    <oddFooter>&amp;L&amp;"Tahoma,Regular"&amp;8 02ae-BM/PM/HDCV/FSOFT v2/0&amp;C&amp;"tahoma,Regular"&amp;8 Internal use&amp;R&amp;"Tahoma,Regular"&amp;8 &amp;P/&amp;N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Cover</vt:lpstr>
      <vt:lpstr>TestDesign</vt:lpstr>
      <vt:lpstr>Test case List</vt:lpstr>
      <vt:lpstr>Module1</vt:lpstr>
      <vt:lpstr>Module2</vt:lpstr>
      <vt:lpstr>Module3</vt:lpstr>
      <vt:lpstr>Test Report</vt:lpstr>
      <vt:lpstr>Module1!Excel_BuiltIn__FilterDatabase</vt:lpstr>
      <vt:lpstr>Module2!Excel_BuiltIn__FilterDatabase</vt:lpstr>
      <vt:lpstr>TestDesign!Print_Area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 case</dc:title>
  <dc:subject>v1/0</dc:subject>
  <dc:creator/>
  <dc:description>Updates sheet Cover: Add logo, document code, creator, reviewer/approver._x000d_
Add sheet Test Case List._x000d_
Change Sheet Company, User, Provider to Modules. Add column Inter-test case dependent. Update these sheets._x000d_
Update Test Report_x000d_
</dc:description>
  <cp:lastModifiedBy>Việt Đức Nguyễn</cp:lastModifiedBy>
  <cp:revision>0</cp:revision>
  <cp:lastPrinted>2010-11-12T10:33:20Z</cp:lastPrinted>
  <dcterms:created xsi:type="dcterms:W3CDTF">2014-07-14T08:56:24Z</dcterms:created>
  <dcterms:modified xsi:type="dcterms:W3CDTF">2026-10-02T02:57:10Z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taInfo">
    <vt:lpwstr/>
  </property>
  <property fmtid="{D5CDD505-2E9C-101B-9397-08002B2CF9AE}" pid="3" name="Number Of Viewer">
    <vt:lpwstr>0</vt:lpwstr>
  </property>
  <property fmtid="{D5CDD505-2E9C-101B-9397-08002B2CF9AE}" pid="4" name="Order">
    <vt:lpwstr/>
  </property>
  <property fmtid="{D5CDD505-2E9C-101B-9397-08002B2CF9AE}" pid="5" name="Priority">
    <vt:lpwstr/>
  </property>
  <property fmtid="{D5CDD505-2E9C-101B-9397-08002B2CF9AE}" pid="6" name="TemplateUrl">
    <vt:lpwstr/>
  </property>
  <property fmtid="{D5CDD505-2E9C-101B-9397-08002B2CF9AE}" pid="7" name="_SharedFileIndex">
    <vt:lpwstr/>
  </property>
  <property fmtid="{D5CDD505-2E9C-101B-9397-08002B2CF9AE}" pid="8" name="_SourceUrl">
    <vt:lpwstr/>
  </property>
  <property fmtid="{D5CDD505-2E9C-101B-9397-08002B2CF9AE}" pid="9" name="xd_ProgID">
    <vt:lpwstr/>
  </property>
</Properties>
</file>