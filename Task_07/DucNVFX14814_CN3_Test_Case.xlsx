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7\"/>
    </mc:Choice>
  </mc:AlternateContent>
  <xr:revisionPtr revIDLastSave="0" documentId="13_ncr:1_{0BC90653-835D-4073-A5F1-9E1B831CAED4}" xr6:coauthVersionLast="47" xr6:coauthVersionMax="47" xr10:uidLastSave="{00000000-0000-0000-0000-000000000000}"/>
  <bookViews>
    <workbookView xWindow="-108" yWindow="-108" windowWidth="23256" windowHeight="12576" tabRatio="500" activeTab="4" xr2:uid="{00000000-000D-0000-FFFF-FFFF00000000}"/>
  </bookViews>
  <sheets>
    <sheet name="Cover" sheetId="1" r:id="rId1"/>
    <sheet name="TestDesign" sheetId="2" r:id="rId2"/>
    <sheet name="Test case List" sheetId="3" r:id="rId3"/>
    <sheet name="Module1" sheetId="4" r:id="rId4"/>
    <sheet name="Module2" sheetId="5" r:id="rId5"/>
    <sheet name="Test Report" sheetId="7" r:id="rId6"/>
  </sheets>
  <definedNames>
    <definedName name="_xlnm._FilterDatabase" localSheetId="1" hidden="1">TestDesign!$A$1:$F$15</definedName>
    <definedName name="_Toc301930468" localSheetId="1">#REF!</definedName>
    <definedName name="_Toc301930478" localSheetId="1">#REF!</definedName>
    <definedName name="ACTION">#REF!</definedName>
    <definedName name="Excel_BuiltIn__FilterDatabase" localSheetId="3">Module1!$A$8:$H$16</definedName>
    <definedName name="_xlnm.Print_Area" localSheetId="1">TestDesign!$A$1:$F$15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8" i="5" l="1"/>
  <c r="A39" i="5"/>
  <c r="C11" i="7"/>
  <c r="C10" i="7"/>
  <c r="C5" i="7"/>
  <c r="A27" i="4"/>
  <c r="A26" i="4"/>
  <c r="A25" i="4"/>
  <c r="A24" i="4"/>
  <c r="A23" i="4"/>
  <c r="A22" i="4"/>
  <c r="A21" i="4"/>
  <c r="A19" i="4"/>
  <c r="A18" i="4"/>
  <c r="A17" i="4"/>
  <c r="A15" i="4"/>
  <c r="A14" i="4"/>
  <c r="A13" i="4"/>
  <c r="A12" i="4"/>
  <c r="A11" i="4"/>
  <c r="A10" i="4"/>
  <c r="F6" i="4" s="1"/>
  <c r="E6" i="4"/>
  <c r="H10" i="7" s="1"/>
  <c r="D6" i="4"/>
  <c r="G10" i="7" s="1"/>
  <c r="B6" i="4"/>
  <c r="E10" i="7" s="1"/>
  <c r="A6" i="4"/>
  <c r="D10" i="7" s="1"/>
  <c r="D4" i="3"/>
  <c r="D3" i="3"/>
  <c r="C6" i="1"/>
  <c r="A37" i="5"/>
  <c r="A36" i="5"/>
  <c r="A35" i="5"/>
  <c r="A34" i="5"/>
  <c r="A33" i="5"/>
  <c r="A32" i="5"/>
  <c r="A31" i="5"/>
  <c r="A29" i="5"/>
  <c r="A28" i="5"/>
  <c r="A27" i="5"/>
  <c r="A26" i="5"/>
  <c r="A25" i="5"/>
  <c r="A24" i="5"/>
  <c r="A23" i="5"/>
  <c r="A22" i="5"/>
  <c r="A21" i="5"/>
  <c r="A20" i="5"/>
  <c r="A18" i="5"/>
  <c r="A17" i="5"/>
  <c r="A16" i="5"/>
  <c r="A15" i="5"/>
  <c r="A14" i="5"/>
  <c r="A13" i="5"/>
  <c r="A12" i="5"/>
  <c r="A11" i="5"/>
  <c r="A10" i="5"/>
  <c r="E6" i="5"/>
  <c r="H11" i="7" s="1"/>
  <c r="D6" i="5"/>
  <c r="G11" i="7" s="1"/>
  <c r="B6" i="5"/>
  <c r="E11" i="7" s="1"/>
  <c r="A6" i="5"/>
  <c r="D11" i="7" s="1"/>
  <c r="F6" i="5" l="1"/>
  <c r="E13" i="7"/>
  <c r="G13" i="7"/>
  <c r="H13" i="7"/>
  <c r="D13" i="7"/>
  <c r="I10" i="7"/>
  <c r="C6" i="4"/>
  <c r="F10" i="7" s="1"/>
  <c r="I11" i="7" l="1"/>
  <c r="I13" i="7" s="1"/>
  <c r="E15" i="7" s="1"/>
  <c r="C6" i="5"/>
  <c r="F11" i="7" s="1"/>
  <c r="F13" i="7" s="1"/>
  <c r="E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Tran Thi Lanh:
It does not required to have 3 requirement levels. It depends on your decentralization.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Tran Thi Lanh:
Brief description about the case you'll check</t>
        </r>
      </text>
    </comment>
    <comment ref="E1" authorId="0" shapeId="0" xr:uid="{00000000-0006-0000-0100-000003000000}">
      <text>
        <r>
          <rPr>
            <sz val="10"/>
            <rFont val="Arial"/>
            <family val="2"/>
          </rPr>
          <t>Tran Thi Lanh:
GUI
Function
Non-function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300-000001000000}">
      <text>
        <r>
          <rPr>
            <sz val="10"/>
            <rFont val="Arial"/>
            <family val="2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400-000001000000}">
      <text>
        <r>
          <rPr>
            <sz val="10"/>
            <rFont val="Arial"/>
            <family val="2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<sst xmlns="http://schemas.openxmlformats.org/spreadsheetml/2006/main" count="504" uniqueCount="224">
  <si>
    <t>TEST CASE</t>
  </si>
  <si>
    <t>Project Name</t>
  </si>
  <si>
    <t>Dò vé số</t>
  </si>
  <si>
    <t>Creator</t>
  </si>
  <si>
    <t>DucNVFX14814</t>
  </si>
  <si>
    <t>Project Code</t>
  </si>
  <si>
    <t>Lab301x</t>
  </si>
  <si>
    <t>Reviewer/Approver</t>
  </si>
  <si>
    <t>ToanHK(Mentor)</t>
  </si>
  <si>
    <t>Document Code</t>
  </si>
  <si>
    <t>Issue Date</t>
  </si>
  <si>
    <t>01/10/2026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</si>
  <si>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</si>
  <si>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</si>
  <si>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</si>
  <si>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</si>
  <si>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</si>
  <si>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</si>
  <si>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</si>
  <si>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</si>
  <si>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</si>
  <si>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Khởi tạo</t>
  </si>
  <si>
    <t>A</t>
  </si>
  <si>
    <t>Tạo mới Test Case cho CN3 - Thực hiện dò vé số (NO_USER, USER; ADMIN không hỗ trợ)</t>
  </si>
  <si>
    <t>DucNVFX14814_SRS, DucNVFX14814_CN3_Screen_Design</t>
  </si>
  <si>
    <t>Requirement Level 1</t>
  </si>
  <si>
    <t>Requirement Level 2</t>
  </si>
  <si>
    <t>Requirement Level 3</t>
  </si>
  <si>
    <t>Test Criteria</t>
  </si>
  <si>
    <t>Test Type</t>
  </si>
  <si>
    <t>Note</t>
  </si>
  <si>
    <t>CN3 - Dò vé số (NO_USER)</t>
  </si>
  <si>
    <t>Dò vé thành công</t>
  </si>
  <si>
    <t>Thành công</t>
  </si>
  <si>
    <t>Dò vé trúng giải (không phải giải Đặc biệt)</t>
  </si>
  <si>
    <t>Function</t>
  </si>
  <si>
    <t>Cần có vé dò PUBLISH của tỉnh/ngày chọn; biết trước số vé trúng giải</t>
  </si>
  <si>
    <t>Dò vé không trúng giải</t>
  </si>
  <si>
    <t>Cần có vé dò PUBLISH của tỉnh/ngày chọn</t>
  </si>
  <si>
    <t>Dò vé trúng giải Đặc biệt</t>
  </si>
  <si>
    <t>Cần có vé dò PUBLISH của tỉnh/ngày chọn; biết số giải Đặc biệt</t>
  </si>
  <si>
    <t>Dò vé trúng nhiều giải</t>
  </si>
  <si>
    <t>Cần có vé dò PUBLISH của tỉnh/ngày chọn; biết số vé trúng nhiều giải</t>
  </si>
  <si>
    <t>Dò vé của tỉnh miền Trung / miền Nam (6 chữ số)</t>
  </si>
  <si>
    <t>Cần có vé dò PUBLISH của tỉnh miền Trung/Nam</t>
  </si>
  <si>
    <t>NO_USER dò vé không được lưu lịch sử</t>
  </si>
  <si>
    <t>Thực hiện sau khi dò vé ở trên</t>
  </si>
  <si>
    <t>Chọn miền / tỉnh và định dạng số vé</t>
  </si>
  <si>
    <t>Lọc danh sách Tỉnh theo Miền</t>
  </si>
  <si>
    <t>Nhãn và độ dài số vé thay đổi theo tỉnh</t>
  </si>
  <si>
    <t>Giao diện NO_USER chỉ dò được 1 vé</t>
  </si>
  <si>
    <t>Dò vé không thành công</t>
  </si>
  <si>
    <t>Không thành công</t>
  </si>
  <si>
    <t>Chưa chọn Tỉnh</t>
  </si>
  <si>
    <t>Để trống số vé</t>
  </si>
  <si>
    <t>Số vé sai số lượng chữ số</t>
  </si>
  <si>
    <t>Số vé chứa ký tự không phải chữ số</t>
  </si>
  <si>
    <t>Chọn Ngày quay số trong tương lai</t>
  </si>
  <si>
    <t>Vé dò chưa công bố (UNPUBLISH)</t>
  </si>
  <si>
    <t>Cần có 1 vé dò UNPUBLISH</t>
  </si>
  <si>
    <t>Ngày chưa có vé dò trong hệ thống</t>
  </si>
  <si>
    <t>CN3 - Dò vé số và lịch sử dò (USER)</t>
  </si>
  <si>
    <t>Dò 1 vé trúng giải</t>
  </si>
  <si>
    <t>Cần có vé dò PUBLISH của tỉnh/ngày chọn; biết số vé trúng giải</t>
  </si>
  <si>
    <t>Dò nhiều vé cùng lúc</t>
  </si>
  <si>
    <t>Dò nhiều vé nhưng không vé nào trúng</t>
  </si>
  <si>
    <t>Nhập các số vé cách nhau bằng dấu phẩy</t>
  </si>
  <si>
    <t>Nhập trùng số vé</t>
  </si>
  <si>
    <t>Dò đúng 20 số vé</t>
  </si>
  <si>
    <t>Kết quả dò được lưu vào lịch sử</t>
  </si>
  <si>
    <t>Thực hiện sau khi dò vé</t>
  </si>
  <si>
    <t>Để trống danh sách số vé</t>
  </si>
  <si>
    <t>Chỉ nhập khoảng trắng / xuống dòng</t>
  </si>
  <si>
    <t>Có số vé sai số lượng chữ số</t>
  </si>
  <si>
    <t>Có số vé chứa ký tự không phải chữ số</t>
  </si>
  <si>
    <t>Nhập quá 20 số vé</t>
  </si>
  <si>
    <t>Dữ liệu nhập quá dài</t>
  </si>
  <si>
    <t>Xem lại lịch sử dò vé</t>
  </si>
  <si>
    <t>Xem lịch sử mặc định</t>
  </si>
  <si>
    <t>USER đã có lượt dò trong tháng</t>
  </si>
  <si>
    <t>Hiển thị lượt dò trúng / không trúng giải</t>
  </si>
  <si>
    <t>Cần có cả lượt trúng và không trúng</t>
  </si>
  <si>
    <t>Lọc theo miền / tỉnh</t>
  </si>
  <si>
    <t>Lọc theo khoảng ngày dò</t>
  </si>
  <si>
    <t>Từ ngày lớn hơn Đến ngày</t>
  </si>
  <si>
    <t>Chọn ngày trong tương lai</t>
  </si>
  <si>
    <t>Không có lượt dò phù hợp bộ lọc</t>
  </si>
  <si>
    <t>Phân trang khi có hơn 10 lượt dò</t>
  </si>
  <si>
    <t>Cần hơn 10 lượt dò khớp bộ lọc</t>
  </si>
  <si>
    <t>Chỉ xem được lịch sử của chính mình</t>
  </si>
  <si>
    <t>Cần 2 tài khoản USER</t>
  </si>
  <si>
    <t>TEST CASE LIST</t>
  </si>
  <si>
    <t>Test Environment Setup Description</t>
  </si>
  <si>
    <t>1. Web server: Apache Tomcat 9
2. Database: MySQL 8
3. Web Browser: Chrome/Edge mới nhất
4. Dữ liệu: đã có các vé dò PUBLISH / UNPUBLISH của nhiều tỉnh, 2 tài khoản USER và 1 tài khoản ADMIN</t>
  </si>
  <si>
    <t>No</t>
  </si>
  <si>
    <t>Function Name</t>
  </si>
  <si>
    <t>Sheet Name</t>
  </si>
  <si>
    <t>Description</t>
  </si>
  <si>
    <t>Pre-Condition</t>
  </si>
  <si>
    <t>1</t>
  </si>
  <si>
    <t>Dò vé số (NO_USER)</t>
  </si>
  <si>
    <t>Module1</t>
  </si>
  <si>
    <t>Dò 1 số vé không cần đăng nhập, không lưu lịch sử</t>
  </si>
  <si>
    <t>Có vé dò đã công bố</t>
  </si>
  <si>
    <t>2</t>
  </si>
  <si>
    <t>Dò vé số (USER)</t>
  </si>
  <si>
    <t>Module2</t>
  </si>
  <si>
    <t>Dò 1 hoặc nhiều số vé (tối đa 20), lưu lịch sử dò</t>
  </si>
  <si>
    <t>Đã đăng nhập USER; có vé dò đã công bố</t>
  </si>
  <si>
    <t>3</t>
  </si>
  <si>
    <t>Lịch sử dò vé (USER)</t>
  </si>
  <si>
    <t>Xem, lọc, phân trang các lượt dò trước đó</t>
  </si>
  <si>
    <t>Đã đăng nhập USER</t>
  </si>
  <si>
    <t>Module Code</t>
  </si>
  <si>
    <t>Passed</t>
  </si>
  <si>
    <t>Test requirement</t>
  </si>
  <si>
    <t>Yêu cầu 2 (NO_USER): Dò vé số - nhập 1 số vé, đối chiếu với vé dò đã công bố, hiển thị kết quả trúng giải / không trúng giải.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</si>
  <si>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</si>
  <si>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</si>
  <si>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</si>
  <si>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</si>
  <si>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</si>
  <si>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</si>
  <si>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</si>
  <si>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</si>
  <si>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</si>
  <si>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</si>
  <si>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</si>
  <si>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</si>
  <si>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</si>
  <si>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1. Chưa đăng nhập, vào trang chủ / menu "Dò vé số".
2. Chọn Miền, Tỉnh và Ngày quay số của 1 vé dò đã công bố.
3. Nhập số vé 5 chữ số (miền Bắc) có đuôi trùng 1 giải (ví dụ 2 số cuối trùng Giải bảy).
4. Bấm "Dò vé".</t>
  </si>
  <si>
    <t>1. Chọn Tỉnh và Ngày quay số của 1 vé dò đã công bố.
2. Nhập 1 số vé chắc chắn không trùng đuôi với giải nào.
3. Bấm "Dò vé".</t>
  </si>
  <si>
    <t>Cột Kết quả hiển thị "Không trúng giải", Tổng tiền thưởng hiển thị "-"; vẫn hiển thị bảng kết quả xổ số của ngày đó.</t>
  </si>
  <si>
    <t>1. Chọn Tỉnh/Ngày của 1 vé dò đã công bố.
2. Nhập số vé trùng đủ 5 chữ số với giải Đặc biệt.
3. Bấm "Dò vé".</t>
  </si>
  <si>
    <t>Chỉ hiển thị giải Đặc biệt với số tiền tương ứng, không cộng thêm các giải khác dù đuôi số vé có trùng.</t>
  </si>
  <si>
    <t>1. Chọn Tỉnh/Ngày của 1 vé dò đã công bố.
2. Nhập số vé có đuôi trùng với từ 2 giải trở lên (không có giải Đặc biệt).
3. Bấm "Dò vé".</t>
  </si>
  <si>
    <t>1. Chọn Miền Nam (hoặc Trung), chọn 1 tỉnh, chọn ngày của vé dò đã công bố.
2. Nhập số vé 6 chữ số.
3. Bấm "Dò vé".</t>
  </si>
  <si>
    <t>Dò thành công, hiển thị kết quả đúng theo đuôi 6 chữ số và mức thưởng của miền tương ứng.</t>
  </si>
  <si>
    <t>1. Chưa đăng nhập, dò 1 vé thành công.
2. Đăng nhập bằng 1 tài khoản USER, vào "Lịch sử dò vé".</t>
  </si>
  <si>
    <t>Lịch sử của USER không có lượt dò vừa thực hiện khi chưa đăng nhập.</t>
  </si>
  <si>
    <t>1. Vào trang Dò vé số.
2. Chọn 1 Miền bất kỳ.</t>
  </si>
  <si>
    <t>Danh sách Tỉnh chỉ còn các tỉnh thuộc miền đã chọn; chọn "Tất cả miền" thì hiển thị đủ các tỉnh.</t>
  </si>
  <si>
    <t>1. Chọn 1 tỉnh miền Bắc.
2. Quan sát ô Số vé số.
3. Chọn 1 tỉnh miền Trung/Nam và quan sát lại.</t>
  </si>
  <si>
    <t>Miền Bắc: nhãn "Số vé số (5 chữ số)", chỉ nhập tối đa 5 ký tự. Miền Trung/Nam: nhãn "Số vé số (6 chữ số)", tối đa 6 ký tự. Khi chưa chọn tỉnh: "5 hoặc 6 chữ số".</t>
  </si>
  <si>
    <t>1. Chưa đăng nhập, vào trang Dò vé số.</t>
  </si>
  <si>
    <t>Chỉ có 1 ô nhập số vé (không có ô nhập danh sách nhiều vé) và có dòng gợi ý "Đăng nhập để dò được nhiều vé cùng lúc và xem lại lịch sử dò vé."</t>
  </si>
  <si>
    <t>1. Để Tỉnh ở "-- Chọn tỉnh --".
2. Nhập ngày và số vé, bấm "Dò vé".</t>
  </si>
  <si>
    <t>Form không được gửi đi, trình duyệt yêu cầu chọn tỉnh (trường bắt buộc).</t>
  </si>
  <si>
    <t>1. Chọn tỉnh, ngày hợp lệ.
2. Để trống ô Số vé số, bấm "Dò vé".</t>
  </si>
  <si>
    <t>Form không được gửi đi, trình duyệt yêu cầu nhập số vé (trường bắt buộc).</t>
  </si>
  <si>
    <t>1. Chọn tỉnh miền Bắc.
2. Nhập số vé 4 chữ số (hoặc chọn tỉnh miền Nam và nhập 5 chữ số).
3. Bấm "Dò vé".</t>
  </si>
  <si>
    <t>Form không được gửi đi, trình duyệt báo số vé không đúng định dạng (phải đủ 5 chữ số với miền Bắc, 6 chữ số với miền Trung/Nam).</t>
  </si>
  <si>
    <t>1. Chọn tỉnh, nhập số vé có chữ cái hoặc ký tự đặc biệt (ví dụ "12a45").
2. Bấm "Dò vé".</t>
  </si>
  <si>
    <t>Form không được gửi đi, trình duyệt báo số vé không đúng định dạng.</t>
  </si>
  <si>
    <t>1. Chọn Ngày quay số sau ngày hiện tại.
2. Bấm "Dò vé".</t>
  </si>
  <si>
    <t>Hiển thị lỗi "Giá trị phải là ngày hiện tại hoặc sớm hơn."; không thực hiện dò.</t>
  </si>
  <si>
    <t>1. Chọn tỉnh và ngày của 1 vé dò đã lưu nhưng chưa công bố.
2. Nhập số vé hợp lệ, bấm "Dò vé".</t>
  </si>
  <si>
    <t>Hiển thị lỗi "Vé dò [tên tỉnh] ngày [dd/MM/yyyy] không tồn tại hoặc chưa được công bố kết quả."</t>
  </si>
  <si>
    <t>1. Chọn tỉnh và 1 ngày chưa có vé dò nào trong hệ thống.
2. Nhập số vé hợp lệ, bấm "Dò vé".</t>
  </si>
  <si>
    <t>Yêu cầu 3 (USER): Dò một hoặc nhiều vé số của một tỉnh, hiển thị kết quả, lưu và xem lại lịch sử dò vé (có lọc, phân trang).</t>
  </si>
  <si>
    <t>1. Đăng nhập USER, vào menu "Dò vé số".
2. Chọn Tỉnh, Ngày quay số của 1 vé dò đã công bố.
3. Nhập 1 số vé trúng giải vào ô Danh sách số vé số.
4. Bấm "Dò vé".</t>
  </si>
  <si>
    <t>Hiển thị "Kết quả dò của bạn" với tên giải và số tiền đúng; bên dưới hiển thị bảng kết quả xổ số của tỉnh/ngày.</t>
  </si>
  <si>
    <t>1. Chọn Tỉnh, Ngày của 1 vé dò đã công bố.
2. Nhập nhiều số vé, mỗi dòng 1 số (trong đó có ít nhất 1 vé trúng).
3. Bấm "Dò vé".</t>
  </si>
  <si>
    <t>Mỗi số vé hiển thị 1 dòng kết quả đúng; chân bảng hiển thị "Tổng tiền trúng thưởng" bằng tổng tiền của các vé trúng.</t>
  </si>
  <si>
    <t>1. Nhập nhiều số vé chắc chắn không trúng.
2. Bấm "Dò vé".</t>
  </si>
  <si>
    <t>Tất cả các dòng hiển thị "Không trúng giải", tiền "-"; không hiển thị dòng "Tổng tiền trúng thưởng".</t>
  </si>
  <si>
    <t>1. Nhập "12345, 67890" (hoặc 2 số cách nhau bằng dấu phẩy) vào ô danh sách số vé.
2. Bấm "Dò vé".</t>
  </si>
  <si>
    <t>Hệ thống tách thành từng số và hiển thị kết quả của từng số.</t>
  </si>
  <si>
    <t>1. Nhập cùng 1 số vé 2 lần (2 dòng giống nhau).
2. Bấm "Dò vé".</t>
  </si>
  <si>
    <t>Số vé trùng chỉ được dò 1 lần, kết quả hiển thị 1 dòng.</t>
  </si>
  <si>
    <t>1. Nhập 20 số vé khác nhau, hợp lệ.
2. Bấm "Dò vé".</t>
  </si>
  <si>
    <t>Dò thành công, hiển thị đủ 20 dòng kết quả.</t>
  </si>
  <si>
    <t>1. Nhập số vé trùng đủ 5 chữ số với giải Đặc biệt (miền Bắc).
2. Bấm "Dò vé".</t>
  </si>
  <si>
    <t>Chỉ hiển thị giải Đặc biệt và số tiền tương ứng, không cộng dồn giải khác.</t>
  </si>
  <si>
    <t>1. Chọn 1 tỉnh miền Trung/Nam và ngày của vé dò đã công bố.
2. Nhập các số vé 6 chữ số.
3. Bấm "Dò vé".</t>
  </si>
  <si>
    <t>Dò thành công, kết quả đúng theo đuôi 6 chữ số và mức thưởng của miền tương ứng.</t>
  </si>
  <si>
    <t>1. Dò N số vé thành công (N ≥ 1).
2. Vào menu "Lịch sử dò vé" (khoảng ngày bao gồm hôm nay).</t>
  </si>
  <si>
    <t>Có thêm N lượt dò mới, mỗi số vé 1 dòng, đúng số vé, kết quả và tổng tiền thưởng.</t>
  </si>
  <si>
    <t>1. Để Tỉnh ở "-- Chọn tỉnh --".
2. Nhập số vé, bấm "Dò vé".</t>
  </si>
  <si>
    <t>1. Chọn tỉnh, ngày hợp lệ.
2. Để trống ô danh sách số vé, bấm "Dò vé".</t>
  </si>
  <si>
    <t>1. Chọn tỉnh, ngày hợp lệ.
2. Chỉ nhập khoảng trắng hoặc xuống dòng vào ô danh sách số vé.
3. Bấm "Dò vé".</t>
  </si>
  <si>
    <t>Hiển thị lỗi "Vui lòng nhập ít nhất 1 số vé số."</t>
  </si>
  <si>
    <t>1. Chọn tỉnh miền Bắc.
2. Nhập danh sách có 1 số không đủ 5 chữ số (ví dụ "1234").
3. Bấm "Dò vé".</t>
  </si>
  <si>
    <t>Hiển thị hộp thoại "Số vé "1234" không hợp lệ. Số vé phải gồm đúng 5 chữ số."; form không được gửi đi.</t>
  </si>
  <si>
    <t>1. Nhập danh sách có 1 số chứa chữ cái (ví dụ "12a45").
2. Bấm "Dò vé".</t>
  </si>
  <si>
    <t>Hiển thị hộp thoại báo số vé không hợp lệ; form không được gửi đi.</t>
  </si>
  <si>
    <t>1. Nhập 21 số vé khác nhau, hợp lệ.
2. Bấm "Dò vé".</t>
  </si>
  <si>
    <t>Hiển thị lỗi "Mỗi lần chỉ được dò tối đa 20 số vé (bạn đã nhập 21 số)."</t>
  </si>
  <si>
    <t>1. Dán vào ô danh sách 1 chuỗi dài hơn 2000 ký tự (ví dụ lặp "12345," khoảng 350 lần).
2. Bấm "Dò vé".</t>
  </si>
  <si>
    <t>Hiển thị lỗi "Dữ liệu nhập quá dài, vui lòng chỉ nhập tối đa 20 số vé."</t>
  </si>
  <si>
    <t>1. Chọn tỉnh và ngày của 1 vé dò chưa công bố.
2. Nhập số vé hợp lệ, bấm "Dò vé".</t>
  </si>
  <si>
    <t>Hiển thị lỗi "Vé dò [tên tỉnh] ngày [dd/MM/yyyy] không tồn tại hoặc chưa được công bố kết quả."; không lưu lịch sử.</t>
  </si>
  <si>
    <t>1. Chọn tỉnh và 1 ngày chưa có vé dò.
2. Nhập số vé hợp lệ, bấm "Dò vé".</t>
  </si>
  <si>
    <t>1. Đăng nhập USER đã có lượt dò.
2. Vào menu "Lịch sử dò vé" (không chọn bộ lọc).</t>
  </si>
  <si>
    <t>Hiển thị các lượt dò từ đầu tháng hiện tại đến hôm nay, tất cả miền/tỉnh, mới nhất trước; bảng có các cột Miền, Tỉnh, Ngày quay số, Số vé đã dò, Kết quả, Tổng tiền thưởng, Thời điểm dò (dd/MM/yyyy HH:mm).</t>
  </si>
  <si>
    <t>1. Xem lịch sử có cả lượt trúng và không trúng.</t>
  </si>
  <si>
    <t>Lượt trúng giải được tô nổi bật, hiển thị tổng tiền thưởng (định dạng có dấu chấm ngăn cách hàng nghìn); lượt không trúng hiển thị "-".</t>
  </si>
  <si>
    <t>1. Chọn 1 Miền, 1 Tỉnh.
2. Bấm "Tìm kiếm".</t>
  </si>
  <si>
    <t>Chỉ hiển thị các lượt dò của tỉnh đã chọn.</t>
  </si>
  <si>
    <t>1. Chọn Từ ngày / Đến ngày hợp lệ.
2. Bấm "Tìm kiếm".</t>
  </si>
  <si>
    <t>Chỉ hiển thị các lượt dò có thời điểm dò nằm trong khoảng ngày đã chọn.</t>
  </si>
  <si>
    <t>1. Chọn Từ ngày sau Đến ngày.
2. Bấm "Tìm kiếm".</t>
  </si>
  <si>
    <t>Hệ thống tự điều chỉnh Từ ngày bằng Đến ngày, không báo lỗi và vẫn hiển thị kết quả.</t>
  </si>
  <si>
    <t>1. Chọn Từ ngày hoặc Đến ngày sau ngày hiện tại.
2. Bấm "Tìm kiếm".</t>
  </si>
  <si>
    <t>Hiển thị lỗi "Giá trị phải là ngày hiện tại hoặc sớm hơn."; không thực hiện tìm kiếm.</t>
  </si>
  <si>
    <t>1. Chọn bộ lọc chắc chắn không có lượt dò nào.
2. Bấm "Tìm kiếm".</t>
  </si>
  <si>
    <t>Hiển thị "Bạn chưa dò vé số lần nào phù hợp với bộ lọc đã chọn."</t>
  </si>
  <si>
    <t>1. Dùng bộ lọc trả về hơn 10 lượt dò.
2. Xem danh sách và chuyển trang.</t>
  </si>
  <si>
    <t>Mỗi trang tối đa 10 dòng; hiển thị "Tổng cộng N lượt dò - trang x/y"; có thanh phân trang, khi chuyển trang vẫn giữ nguyên bộ lọc.</t>
  </si>
  <si>
    <t>1. USER A dò vé thành công.
2. Đăng xuất, đăng nhập USER B, vào "Lịch sử dò vé".</t>
  </si>
  <si>
    <t>USER B không thấy các lượt dò của USER A.</t>
  </si>
  <si>
    <t>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</si>
  <si>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</si>
  <si>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</si>
  <si>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</si>
  <si>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</si>
  <si>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</si>
  <si>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</si>
  <si>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</si>
  <si>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</si>
  <si>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</si>
  <si>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Mỗi giải trúng hiển thị 1 dòng (trạng thái + số tiền); Tổng tiền thưởng bằng tổng tiền các giải trúng.</t>
  </si>
  <si>
    <t>Hiển thị bảng "Kết quả dò của bạn": số vé, tên giải trúng (trạng thái xanh) kèm số tiền, "Tổng tiền thưởng" đúng; bên dưới hiển thị bảng kết quả xổ số của tỉnh/ngày đã chọn.</t>
  </si>
  <si>
    <t>Release 1 gồm 2 module: Module1 (NO_USER - Dò vé số), Module2 (USER - Dò vé số, Lịch sử dò vé).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</si>
</sst>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[$-409]d\-mmm\-yy"/>
  </numFmts>
  <fonts count="27">
    <font>
      <sz val="11"/>
      <name val="ＭＳ Ｐゴシック"/>
      <charset val="128"/>
    </font>
    <font>
      <sz val="11"/>
      <color rgb="FF000000"/>
      <name val="Calibri"/>
      <family val="2"/>
      <charset val="163"/>
    </font>
    <font>
      <sz val="11"/>
      <color rgb="FF000000"/>
      <name val="Calibri"/>
      <family val="3"/>
      <charset val="128"/>
    </font>
    <font>
      <sz val="9"/>
      <name val="ＭＳ ゴシック"/>
      <family val="3"/>
      <charset val="128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sz val="22"/>
      <color rgb="FFFF0000"/>
      <name val="Times New Roman"/>
      <family val="1"/>
      <charset val="1"/>
    </font>
    <font>
      <b/>
      <sz val="20"/>
      <color rgb="FF000000"/>
      <name val="Times New Roman"/>
      <family val="1"/>
      <charset val="1"/>
    </font>
    <font>
      <b/>
      <sz val="10"/>
      <color rgb="FF993300"/>
      <name val="Times New Roman"/>
      <family val="1"/>
      <charset val="1"/>
    </font>
    <font>
      <i/>
      <sz val="10"/>
      <color rgb="FF008000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sz val="10"/>
      <name val="Arial"/>
      <family val="2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name val="Tahoma"/>
      <family val="2"/>
      <charset val="1"/>
    </font>
    <font>
      <b/>
      <sz val="20"/>
      <color rgb="FF000000"/>
      <name val="Tahoma"/>
      <family val="2"/>
      <charset val="1"/>
    </font>
    <font>
      <b/>
      <sz val="10"/>
      <color rgb="FF000000"/>
      <name val="Tahoma"/>
      <family val="2"/>
      <charset val="1"/>
    </font>
    <font>
      <b/>
      <sz val="10"/>
      <color rgb="FFFF0000"/>
      <name val="Tahoma"/>
      <family val="2"/>
      <charset val="1"/>
    </font>
    <font>
      <b/>
      <sz val="10"/>
      <color rgb="FF993300"/>
      <name val="Tahoma"/>
      <family val="2"/>
      <charset val="1"/>
    </font>
    <font>
      <i/>
      <sz val="10"/>
      <color rgb="FF008000"/>
      <name val="Tahoma"/>
      <family val="2"/>
      <charset val="1"/>
    </font>
    <font>
      <b/>
      <sz val="10"/>
      <name val="Tahoma"/>
      <family val="2"/>
      <charset val="1"/>
    </font>
    <font>
      <u/>
      <sz val="10"/>
      <color rgb="FF0000FF"/>
      <name val="Times New Roman"/>
      <family val="1"/>
      <charset val="1"/>
    </font>
    <font>
      <sz val="10"/>
      <color rgb="FFFF0000"/>
      <name val="Tahoma"/>
      <family val="2"/>
      <charset val="1"/>
    </font>
    <font>
      <sz val="10"/>
      <color rgb="FF000000"/>
      <name val="Tahoma"/>
      <family val="2"/>
      <charset val="1"/>
    </font>
    <font>
      <b/>
      <sz val="10"/>
      <name val="Times New Roman"/>
      <family val="1"/>
      <charset val="1"/>
    </font>
    <font>
      <sz val="10"/>
      <color rgb="FFFFFFFF"/>
      <name val="Times New Roman"/>
      <family val="1"/>
      <charset val="1"/>
    </font>
    <font>
      <b/>
      <sz val="10"/>
      <color rgb="FF0000FF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37">
    <xf numFmtId="0" fontId="0" fillId="0" borderId="0" xfId="0"/>
    <xf numFmtId="0" fontId="8" fillId="2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indent="1"/>
    </xf>
    <xf numFmtId="0" fontId="9" fillId="0" borderId="0" xfId="0" applyFont="1" applyAlignment="1">
      <alignment horizontal="left" indent="1"/>
    </xf>
    <xf numFmtId="0" fontId="4" fillId="2" borderId="0" xfId="0" applyFont="1" applyFill="1"/>
    <xf numFmtId="0" fontId="8" fillId="2" borderId="1" xfId="0" applyFont="1" applyFill="1" applyBorder="1" applyAlignment="1">
      <alignment horizontal="left"/>
    </xf>
    <xf numFmtId="0" fontId="4" fillId="0" borderId="2" xfId="0" applyFont="1" applyBorder="1"/>
    <xf numFmtId="0" fontId="8" fillId="2" borderId="0" xfId="0" applyFont="1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0" fontId="4" fillId="0" borderId="7" xfId="0" applyFont="1" applyBorder="1" applyAlignment="1">
      <alignment vertical="top"/>
    </xf>
    <xf numFmtId="165" fontId="4" fillId="0" borderId="7" xfId="0" applyNumberFormat="1" applyFont="1" applyBorder="1" applyAlignment="1">
      <alignment vertical="top" wrapText="1"/>
    </xf>
    <xf numFmtId="49" fontId="4" fillId="0" borderId="8" xfId="0" applyNumberFormat="1" applyFont="1" applyBorder="1" applyAlignment="1">
      <alignment vertical="top" wrapText="1"/>
    </xf>
    <xf numFmtId="164" fontId="4" fillId="0" borderId="6" xfId="0" applyNumberFormat="1" applyFont="1" applyBorder="1" applyAlignment="1">
      <alignment vertical="top"/>
    </xf>
    <xf numFmtId="0" fontId="4" fillId="0" borderId="8" xfId="0" applyFont="1" applyBorder="1" applyAlignment="1">
      <alignment vertical="top"/>
    </xf>
    <xf numFmtId="164" fontId="4" fillId="0" borderId="9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14" fillId="2" borderId="0" xfId="0" applyFont="1" applyFill="1"/>
    <xf numFmtId="1" fontId="14" fillId="2" borderId="0" xfId="0" applyNumberFormat="1" applyFont="1" applyFill="1"/>
    <xf numFmtId="0" fontId="14" fillId="2" borderId="0" xfId="0" applyFont="1" applyFill="1" applyAlignment="1">
      <alignment horizontal="left"/>
    </xf>
    <xf numFmtId="1" fontId="14" fillId="2" borderId="0" xfId="0" applyNumberFormat="1" applyFont="1" applyFill="1" applyProtection="1">
      <protection hidden="1"/>
    </xf>
    <xf numFmtId="0" fontId="15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17" fillId="2" borderId="0" xfId="0" applyFont="1" applyFill="1" applyAlignment="1">
      <alignment horizontal="left"/>
    </xf>
    <xf numFmtId="0" fontId="14" fillId="2" borderId="0" xfId="0" applyFont="1" applyFill="1" applyAlignment="1">
      <alignment wrapText="1"/>
    </xf>
    <xf numFmtId="1" fontId="18" fillId="2" borderId="0" xfId="0" applyNumberFormat="1" applyFont="1" applyFill="1"/>
    <xf numFmtId="0" fontId="14" fillId="2" borderId="0" xfId="0" applyFont="1" applyFill="1" applyAlignment="1">
      <alignment vertical="center"/>
    </xf>
    <xf numFmtId="1" fontId="14" fillId="2" borderId="0" xfId="0" applyNumberFormat="1" applyFont="1" applyFill="1" applyAlignment="1" applyProtection="1">
      <alignment vertical="center"/>
      <protection hidden="1"/>
    </xf>
    <xf numFmtId="0" fontId="14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/>
    </xf>
    <xf numFmtId="1" fontId="10" fillId="4" borderId="3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vertical="center"/>
    </xf>
    <xf numFmtId="49" fontId="4" fillId="2" borderId="7" xfId="0" applyNumberFormat="1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1" fontId="14" fillId="2" borderId="6" xfId="0" applyNumberFormat="1" applyFont="1" applyFill="1" applyBorder="1" applyAlignment="1">
      <alignment vertical="center"/>
    </xf>
    <xf numFmtId="49" fontId="14" fillId="2" borderId="7" xfId="0" applyNumberFormat="1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" fontId="14" fillId="2" borderId="9" xfId="0" applyNumberFormat="1" applyFont="1" applyFill="1" applyBorder="1" applyAlignment="1">
      <alignment vertical="center"/>
    </xf>
    <xf numFmtId="49" fontId="14" fillId="2" borderId="10" xfId="0" applyNumberFormat="1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2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3" fillId="2" borderId="14" xfId="0" applyFont="1" applyFill="1" applyBorder="1" applyAlignment="1">
      <alignment wrapText="1"/>
    </xf>
    <xf numFmtId="0" fontId="14" fillId="2" borderId="14" xfId="0" applyFont="1" applyFill="1" applyBorder="1" applyAlignment="1">
      <alignment wrapText="1"/>
    </xf>
    <xf numFmtId="0" fontId="20" fillId="2" borderId="0" xfId="0" applyFont="1" applyFill="1" applyAlignment="1">
      <alignment wrapText="1"/>
    </xf>
    <xf numFmtId="0" fontId="23" fillId="2" borderId="0" xfId="0" applyFont="1" applyFill="1" applyAlignment="1">
      <alignment wrapText="1"/>
    </xf>
    <xf numFmtId="0" fontId="20" fillId="2" borderId="15" xfId="0" applyFont="1" applyFill="1" applyBorder="1" applyAlignment="1">
      <alignment horizontal="left" wrapText="1"/>
    </xf>
    <xf numFmtId="0" fontId="20" fillId="2" borderId="16" xfId="0" applyFont="1" applyFill="1" applyBorder="1" applyAlignment="1">
      <alignment horizontal="left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22" fillId="2" borderId="0" xfId="0" applyFont="1" applyFill="1" applyAlignment="1">
      <alignment horizont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 wrapText="1"/>
    </xf>
    <xf numFmtId="0" fontId="2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vertical="center" wrapText="1"/>
    </xf>
    <xf numFmtId="0" fontId="12" fillId="5" borderId="1" xfId="0" applyFont="1" applyFill="1" applyBorder="1" applyAlignment="1">
      <alignment wrapText="1"/>
    </xf>
    <xf numFmtId="0" fontId="1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3" fillId="2" borderId="0" xfId="0" applyFont="1" applyFill="1" applyAlignment="1">
      <alignment vertical="top" wrapText="1"/>
    </xf>
    <xf numFmtId="0" fontId="24" fillId="2" borderId="0" xfId="0" applyFont="1" applyFill="1"/>
    <xf numFmtId="164" fontId="4" fillId="2" borderId="0" xfId="0" applyNumberFormat="1" applyFont="1" applyFill="1"/>
    <xf numFmtId="0" fontId="8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9" fillId="2" borderId="0" xfId="0" applyFont="1" applyFill="1"/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wrapText="1"/>
    </xf>
    <xf numFmtId="0" fontId="10" fillId="3" borderId="13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5" fillId="3" borderId="9" xfId="0" applyFont="1" applyFill="1" applyBorder="1" applyAlignment="1">
      <alignment horizontal="center"/>
    </xf>
    <xf numFmtId="0" fontId="10" fillId="3" borderId="10" xfId="0" applyFont="1" applyFill="1" applyBorder="1"/>
    <xf numFmtId="0" fontId="25" fillId="3" borderId="10" xfId="0" applyFont="1" applyFill="1" applyBorder="1" applyAlignment="1">
      <alignment horizontal="center"/>
    </xf>
    <xf numFmtId="0" fontId="25" fillId="3" borderId="19" xfId="0" applyFont="1" applyFill="1" applyBorder="1" applyAlignment="1">
      <alignment horizontal="center"/>
    </xf>
    <xf numFmtId="0" fontId="25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2" fontId="26" fillId="2" borderId="0" xfId="0" applyNumberFormat="1" applyFont="1" applyFill="1" applyAlignment="1">
      <alignment horizontal="right" wrapText="1"/>
    </xf>
    <xf numFmtId="0" fontId="12" fillId="2" borderId="0" xfId="0" applyFont="1" applyFill="1" applyAlignment="1">
      <alignment horizontal="center" wrapText="1"/>
    </xf>
    <xf numFmtId="0" fontId="12" fillId="2" borderId="1" xfId="0" quotePrefix="1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" fontId="18" fillId="2" borderId="12" xfId="0" applyNumberFormat="1" applyFont="1" applyFill="1" applyBorder="1"/>
    <xf numFmtId="0" fontId="19" fillId="2" borderId="1" xfId="0" applyFont="1" applyFill="1" applyBorder="1" applyAlignment="1">
      <alignment horizontal="left"/>
    </xf>
    <xf numFmtId="1" fontId="18" fillId="2" borderId="1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top" wrapText="1"/>
    </xf>
    <xf numFmtId="0" fontId="19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標準_結合試験(AllOvertheWorld)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W18"/>
  <sheetViews>
    <sheetView zoomScaleNormal="100" workbookViewId="0">
      <selection activeCell="K13" sqref="K13"/>
    </sheetView>
  </sheetViews>
  <sheetFormatPr defaultColWidth="9" defaultRowHeight="13.8"/>
  <cols>
    <col min="1" max="1" width="2.109375" style="4" customWidth="1"/>
    <col min="2" max="2" width="19.6640625" style="5" customWidth="1"/>
    <col min="3" max="3" width="9.109375" style="4" customWidth="1"/>
    <col min="4" max="4" width="14.44140625" style="4" customWidth="1"/>
    <col min="5" max="5" width="8" style="4" customWidth="1"/>
    <col min="6" max="6" width="31.109375" style="4" customWidth="1"/>
    <col min="7" max="7" width="31" style="4" customWidth="1"/>
    <col min="8" max="257" width="9" style="4"/>
    <col min="258" max="16384" width="9" style="6"/>
  </cols>
  <sheetData>
    <row r="2" spans="1:7" s="8" customFormat="1" ht="75.75" customHeight="1">
      <c r="A2" s="7"/>
      <c r="B2" s="120" t="s">
        <v>0</v>
      </c>
      <c r="C2" s="120"/>
      <c r="D2" s="120"/>
      <c r="E2" s="120"/>
      <c r="F2" s="120"/>
      <c r="G2" s="120"/>
    </row>
    <row r="3" spans="1:7" ht="12.75" customHeight="1">
      <c r="B3" s="9"/>
      <c r="C3" s="10"/>
      <c r="F3" s="11"/>
    </row>
    <row r="4" spans="1:7" ht="14.25" customHeight="1">
      <c r="B4" s="12" t="s">
        <v>1</v>
      </c>
      <c r="C4" s="121" t="s">
        <v>2</v>
      </c>
      <c r="D4" s="121"/>
      <c r="E4" s="121"/>
      <c r="F4" s="12" t="s">
        <v>3</v>
      </c>
      <c r="G4" s="13" t="s">
        <v>4</v>
      </c>
    </row>
    <row r="5" spans="1:7" ht="14.25" customHeight="1">
      <c r="B5" s="12" t="s">
        <v>5</v>
      </c>
      <c r="C5" s="121" t="s">
        <v>6</v>
      </c>
      <c r="D5" s="121"/>
      <c r="E5" s="121"/>
      <c r="F5" s="12" t="s">
        <v>7</v>
      </c>
      <c r="G5" s="13" t="s">
        <v>8</v>
      </c>
    </row>
    <row r="6" spans="1:7" ht="15.75" customHeight="1">
      <c r="B6" s="122" t="s">
        <v>9</v>
      </c>
      <c r="C6" s="123" t="str">
        <f>C5&amp;"_"&amp;"CN3_TestCase"&amp;"_"&amp;"v1.0"</f>
        <v>Lab301x_CN3_TestCase_v1.0</v>
      </c>
      <c r="D6" s="123"/>
      <c r="E6" s="123"/>
      <c r="F6" s="12" t="s">
        <v>10</v>
      </c>
      <c r="G6" s="13" t="s">
        <v>11</v>
      </c>
    </row>
    <row r="7" spans="1:7" ht="13.5" customHeight="1">
      <c r="B7" s="122"/>
      <c r="C7" s="123"/>
      <c r="D7" s="123"/>
      <c r="E7" s="123"/>
      <c r="F7" s="12" t="s">
        <v>12</v>
      </c>
      <c r="G7" s="13" t="s">
        <v>13</v>
      </c>
    </row>
    <row r="8" spans="1:7" ht="12.75" customHeight="1">
      <c r="B8" s="14"/>
      <c r="C8" s="15"/>
      <c r="F8" s="9"/>
      <c r="G8" s="10"/>
    </row>
    <row r="9" spans="1:7" ht="12.75" customHeight="1">
      <c r="B9" s="4"/>
    </row>
    <row r="10" spans="1:7" ht="12.75" customHeight="1">
      <c r="B10" s="16" t="s">
        <v>14</v>
      </c>
    </row>
    <row r="11" spans="1:7" s="17" customFormat="1" ht="12.75" customHeight="1">
      <c r="B11" s="18" t="s">
        <v>15</v>
      </c>
      <c r="C11" s="19" t="s">
        <v>12</v>
      </c>
      <c r="D11" s="19" t="s">
        <v>16</v>
      </c>
      <c r="E11" s="19" t="s">
        <v>17</v>
      </c>
      <c r="F11" s="19" t="s">
        <v>18</v>
      </c>
      <c r="G11" s="20" t="s">
        <v>19</v>
      </c>
    </row>
    <row r="12" spans="1:7" s="21" customFormat="1" ht="39" customHeight="1">
      <c r="B12" s="22" t="s">
        <v>11</v>
      </c>
      <c r="C12" s="23" t="s">
        <v>20</v>
      </c>
      <c r="D12" s="24" t="s">
        <v>21</v>
      </c>
      <c r="E12" s="24" t="s">
        <v>22</v>
      </c>
      <c r="F12" s="25" t="s">
        <v>23</v>
      </c>
      <c r="G12" s="26" t="s">
        <v>24</v>
      </c>
    </row>
    <row r="13" spans="1:7" s="21" customFormat="1" ht="21.75" customHeight="1">
      <c r="B13" s="27"/>
      <c r="C13" s="23"/>
      <c r="D13" s="24"/>
      <c r="E13" s="24"/>
      <c r="F13" s="24"/>
      <c r="G13" s="28"/>
    </row>
    <row r="14" spans="1:7" s="21" customFormat="1" ht="19.5" customHeight="1">
      <c r="B14" s="27"/>
      <c r="C14" s="23"/>
      <c r="D14" s="24"/>
      <c r="E14" s="24"/>
      <c r="F14" s="24"/>
      <c r="G14" s="28"/>
    </row>
    <row r="15" spans="1:7" s="21" customFormat="1" ht="21.75" customHeight="1">
      <c r="B15" s="27"/>
      <c r="C15" s="23"/>
      <c r="D15" s="24"/>
      <c r="E15" s="24"/>
      <c r="F15" s="24"/>
      <c r="G15" s="28"/>
    </row>
    <row r="16" spans="1:7" s="21" customFormat="1" ht="19.5" customHeight="1">
      <c r="B16" s="27"/>
      <c r="C16" s="23"/>
      <c r="D16" s="24"/>
      <c r="E16" s="24"/>
      <c r="F16" s="24"/>
      <c r="G16" s="28"/>
    </row>
    <row r="17" spans="2:7" s="21" customFormat="1" ht="21.75" customHeight="1">
      <c r="B17" s="27"/>
      <c r="C17" s="23"/>
      <c r="D17" s="24"/>
      <c r="E17" s="24"/>
      <c r="F17" s="24"/>
      <c r="G17" s="28"/>
    </row>
    <row r="18" spans="2:7" s="21" customFormat="1" ht="19.5" customHeight="1">
      <c r="B18" s="29"/>
      <c r="C18" s="30"/>
      <c r="D18" s="31"/>
      <c r="E18" s="31"/>
      <c r="F18" s="31"/>
      <c r="G18" s="32"/>
    </row>
  </sheetData>
  <mergeCells count="5">
    <mergeCell ref="B2:G2"/>
    <mergeCell ref="C4:E4"/>
    <mergeCell ref="C5:E5"/>
    <mergeCell ref="B6:B7"/>
    <mergeCell ref="C6:E7"/>
  </mergeCells>
  <pageMargins left="0.47013888888888899" right="0.47013888888888899" top="0.5" bottom="0.35138888888888897" header="0.511811023622047" footer="0.17013888888888901"/>
  <pageSetup paperSize="9" orientation="landscape" horizontalDpi="300" verticalDpi="300"/>
  <headerFooter>
    <oddFooter>&amp;L&amp;"Tahoma,Regular"&amp;8 02ae-BM/PM/HDCV/FSOFT v2/0&amp;C&amp;"Tahoma,Regular"&amp;8 Internal use&amp;R&amp;"tahomaTahoma,Regular"&amp;8 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45"/>
  <sheetViews>
    <sheetView topLeftCell="A7" zoomScaleNormal="100" workbookViewId="0">
      <selection activeCell="D48" sqref="D48"/>
    </sheetView>
  </sheetViews>
  <sheetFormatPr defaultColWidth="7.77734375" defaultRowHeight="13.8"/>
  <cols>
    <col min="1" max="1" width="22.88671875" style="33" customWidth="1"/>
    <col min="2" max="2" width="27.77734375" style="33" customWidth="1"/>
    <col min="3" max="3" width="22.33203125" style="33" customWidth="1"/>
    <col min="4" max="4" width="61.88671875" style="34" customWidth="1"/>
    <col min="5" max="5" width="14.5546875" style="33" customWidth="1"/>
    <col min="6" max="6" width="44.33203125" style="34" customWidth="1"/>
    <col min="7" max="257" width="7.77734375" style="35"/>
    <col min="258" max="16384" width="7.77734375" style="6"/>
  </cols>
  <sheetData>
    <row r="1" spans="1:6" s="37" customFormat="1" ht="12.75" customHeight="1">
      <c r="A1" s="36" t="s">
        <v>25</v>
      </c>
      <c r="B1" s="36" t="s">
        <v>26</v>
      </c>
      <c r="C1" s="36" t="s">
        <v>27</v>
      </c>
      <c r="D1" s="36" t="s">
        <v>28</v>
      </c>
      <c r="E1" s="36" t="s">
        <v>29</v>
      </c>
      <c r="F1" s="36" t="s">
        <v>30</v>
      </c>
    </row>
    <row r="2" spans="1:6" ht="26.25" customHeight="1">
      <c r="A2" s="38" t="s">
        <v>31</v>
      </c>
      <c r="B2" s="38" t="s">
        <v>32</v>
      </c>
      <c r="C2" s="38" t="s">
        <v>33</v>
      </c>
      <c r="D2" s="38" t="s">
        <v>34</v>
      </c>
      <c r="E2" s="39" t="s">
        <v>35</v>
      </c>
      <c r="F2" s="38" t="s">
        <v>36</v>
      </c>
    </row>
    <row r="3" spans="1:6" ht="13.5" customHeight="1">
      <c r="A3" s="38"/>
      <c r="B3" s="38"/>
      <c r="C3" s="38"/>
      <c r="D3" s="38" t="s">
        <v>37</v>
      </c>
      <c r="E3" s="39" t="s">
        <v>35</v>
      </c>
      <c r="F3" s="38" t="s">
        <v>38</v>
      </c>
    </row>
    <row r="4" spans="1:6" ht="26.25" customHeight="1">
      <c r="A4" s="38"/>
      <c r="B4" s="38"/>
      <c r="C4" s="38"/>
      <c r="D4" s="38" t="s">
        <v>39</v>
      </c>
      <c r="E4" s="39" t="s">
        <v>35</v>
      </c>
      <c r="F4" s="38" t="s">
        <v>40</v>
      </c>
    </row>
    <row r="5" spans="1:6" ht="26.25" customHeight="1">
      <c r="A5" s="38"/>
      <c r="B5" s="38"/>
      <c r="C5" s="38"/>
      <c r="D5" s="38" t="s">
        <v>41</v>
      </c>
      <c r="E5" s="39" t="s">
        <v>35</v>
      </c>
      <c r="F5" s="38" t="s">
        <v>42</v>
      </c>
    </row>
    <row r="6" spans="1:6" ht="13.5" customHeight="1">
      <c r="A6" s="38"/>
      <c r="B6" s="38"/>
      <c r="C6" s="38"/>
      <c r="D6" s="38" t="s">
        <v>43</v>
      </c>
      <c r="E6" s="39" t="s">
        <v>35</v>
      </c>
      <c r="F6" s="38" t="s">
        <v>44</v>
      </c>
    </row>
    <row r="7" spans="1:6" ht="13.5" customHeight="1">
      <c r="A7" s="38"/>
      <c r="B7" s="38"/>
      <c r="C7" s="38"/>
      <c r="D7" s="38" t="s">
        <v>45</v>
      </c>
      <c r="E7" s="39" t="s">
        <v>35</v>
      </c>
      <c r="F7" s="38" t="s">
        <v>46</v>
      </c>
    </row>
    <row r="8" spans="1:6" ht="26.25" customHeight="1">
      <c r="A8" s="38"/>
      <c r="B8" s="38" t="s">
        <v>47</v>
      </c>
      <c r="C8" s="38" t="s">
        <v>33</v>
      </c>
      <c r="D8" s="38" t="s">
        <v>48</v>
      </c>
      <c r="E8" s="39" t="s">
        <v>35</v>
      </c>
      <c r="F8" s="38"/>
    </row>
    <row r="9" spans="1:6" ht="13.5" customHeight="1">
      <c r="A9" s="38"/>
      <c r="B9" s="38"/>
      <c r="C9" s="38"/>
      <c r="D9" s="38" t="s">
        <v>49</v>
      </c>
      <c r="E9" s="39" t="s">
        <v>35</v>
      </c>
      <c r="F9" s="38"/>
    </row>
    <row r="10" spans="1:6" ht="13.5" customHeight="1">
      <c r="A10" s="38"/>
      <c r="B10" s="38"/>
      <c r="C10" s="38"/>
      <c r="D10" s="38" t="s">
        <v>50</v>
      </c>
      <c r="E10" s="39" t="s">
        <v>35</v>
      </c>
      <c r="F10" s="38"/>
    </row>
    <row r="11" spans="1:6" ht="13.5" customHeight="1">
      <c r="A11" s="38"/>
      <c r="B11" s="38" t="s">
        <v>51</v>
      </c>
      <c r="C11" s="38" t="s">
        <v>52</v>
      </c>
      <c r="D11" s="38" t="s">
        <v>53</v>
      </c>
      <c r="E11" s="39" t="s">
        <v>35</v>
      </c>
      <c r="F11" s="38"/>
    </row>
    <row r="12" spans="1:6" ht="13.5" customHeight="1">
      <c r="A12" s="38"/>
      <c r="B12" s="38"/>
      <c r="C12" s="38"/>
      <c r="D12" s="38" t="s">
        <v>54</v>
      </c>
      <c r="E12" s="39" t="s">
        <v>35</v>
      </c>
      <c r="F12" s="38"/>
    </row>
    <row r="13" spans="1:6" ht="13.5" customHeight="1">
      <c r="A13" s="38"/>
      <c r="B13" s="38"/>
      <c r="C13" s="38"/>
      <c r="D13" s="38" t="s">
        <v>55</v>
      </c>
      <c r="E13" s="39" t="s">
        <v>35</v>
      </c>
      <c r="F13" s="38"/>
    </row>
    <row r="14" spans="1:6" ht="13.5" customHeight="1">
      <c r="A14" s="38"/>
      <c r="B14" s="38"/>
      <c r="C14" s="38"/>
      <c r="D14" s="38" t="s">
        <v>56</v>
      </c>
      <c r="E14" s="39" t="s">
        <v>35</v>
      </c>
      <c r="F14" s="38"/>
    </row>
    <row r="15" spans="1:6" ht="13.5" customHeight="1">
      <c r="A15" s="38"/>
      <c r="B15" s="38"/>
      <c r="C15" s="38"/>
      <c r="D15" s="38" t="s">
        <v>57</v>
      </c>
      <c r="E15" s="39" t="s">
        <v>35</v>
      </c>
      <c r="F15" s="38"/>
    </row>
    <row r="16" spans="1:6" ht="13.5" customHeight="1">
      <c r="A16" s="38"/>
      <c r="B16" s="38"/>
      <c r="C16" s="38"/>
      <c r="D16" s="38" t="s">
        <v>58</v>
      </c>
      <c r="E16" s="39" t="s">
        <v>35</v>
      </c>
      <c r="F16" s="38" t="s">
        <v>59</v>
      </c>
    </row>
    <row r="17" spans="1:6" ht="13.5" customHeight="1">
      <c r="A17" s="38"/>
      <c r="B17" s="38"/>
      <c r="C17" s="38"/>
      <c r="D17" s="38" t="s">
        <v>60</v>
      </c>
      <c r="E17" s="39" t="s">
        <v>35</v>
      </c>
      <c r="F17" s="38"/>
    </row>
    <row r="18" spans="1:6" ht="26.25" customHeight="1">
      <c r="A18" s="38" t="s">
        <v>61</v>
      </c>
      <c r="B18" s="38" t="s">
        <v>32</v>
      </c>
      <c r="C18" s="38" t="s">
        <v>33</v>
      </c>
      <c r="D18" s="38" t="s">
        <v>62</v>
      </c>
      <c r="E18" s="39" t="s">
        <v>35</v>
      </c>
      <c r="F18" s="38" t="s">
        <v>63</v>
      </c>
    </row>
    <row r="19" spans="1:6" ht="13.5" customHeight="1">
      <c r="A19" s="38"/>
      <c r="B19" s="38"/>
      <c r="C19" s="38"/>
      <c r="D19" s="38" t="s">
        <v>64</v>
      </c>
      <c r="E19" s="39" t="s">
        <v>35</v>
      </c>
      <c r="F19" s="38" t="s">
        <v>38</v>
      </c>
    </row>
    <row r="20" spans="1:6" ht="13.5" customHeight="1">
      <c r="A20" s="38"/>
      <c r="B20" s="38"/>
      <c r="C20" s="38"/>
      <c r="D20" s="38" t="s">
        <v>65</v>
      </c>
      <c r="E20" s="39" t="s">
        <v>35</v>
      </c>
      <c r="F20" s="38" t="s">
        <v>38</v>
      </c>
    </row>
    <row r="21" spans="1:6" ht="13.5" customHeight="1">
      <c r="A21" s="38"/>
      <c r="B21" s="38"/>
      <c r="C21" s="38"/>
      <c r="D21" s="38" t="s">
        <v>66</v>
      </c>
      <c r="E21" s="39" t="s">
        <v>35</v>
      </c>
      <c r="F21" s="38" t="s">
        <v>38</v>
      </c>
    </row>
    <row r="22" spans="1:6" ht="13.5" customHeight="1">
      <c r="A22" s="38"/>
      <c r="B22" s="38"/>
      <c r="C22" s="38"/>
      <c r="D22" s="38" t="s">
        <v>67</v>
      </c>
      <c r="E22" s="39" t="s">
        <v>35</v>
      </c>
      <c r="F22" s="38" t="s">
        <v>38</v>
      </c>
    </row>
    <row r="23" spans="1:6" ht="13.5" customHeight="1">
      <c r="A23" s="38"/>
      <c r="B23" s="38"/>
      <c r="C23" s="38"/>
      <c r="D23" s="38" t="s">
        <v>68</v>
      </c>
      <c r="E23" s="39" t="s">
        <v>35</v>
      </c>
      <c r="F23" s="38" t="s">
        <v>38</v>
      </c>
    </row>
    <row r="24" spans="1:6" ht="26.25" customHeight="1">
      <c r="A24" s="38"/>
      <c r="B24" s="38"/>
      <c r="C24" s="38"/>
      <c r="D24" s="38" t="s">
        <v>39</v>
      </c>
      <c r="E24" s="39" t="s">
        <v>35</v>
      </c>
      <c r="F24" s="38" t="s">
        <v>40</v>
      </c>
    </row>
    <row r="25" spans="1:6" ht="13.5" customHeight="1">
      <c r="A25" s="38"/>
      <c r="B25" s="38"/>
      <c r="C25" s="38"/>
      <c r="D25" s="38" t="s">
        <v>43</v>
      </c>
      <c r="E25" s="39" t="s">
        <v>35</v>
      </c>
      <c r="F25" s="38" t="s">
        <v>44</v>
      </c>
    </row>
    <row r="26" spans="1:6" ht="13.5" customHeight="1">
      <c r="A26" s="38"/>
      <c r="B26" s="38"/>
      <c r="C26" s="38"/>
      <c r="D26" s="38" t="s">
        <v>69</v>
      </c>
      <c r="E26" s="39" t="s">
        <v>35</v>
      </c>
      <c r="F26" s="38" t="s">
        <v>70</v>
      </c>
    </row>
    <row r="27" spans="1:6" ht="13.5" customHeight="1">
      <c r="A27" s="38"/>
      <c r="B27" s="38" t="s">
        <v>51</v>
      </c>
      <c r="C27" s="38" t="s">
        <v>52</v>
      </c>
      <c r="D27" s="38" t="s">
        <v>53</v>
      </c>
      <c r="E27" s="39" t="s">
        <v>35</v>
      </c>
      <c r="F27" s="38"/>
    </row>
    <row r="28" spans="1:6" ht="13.5" customHeight="1">
      <c r="A28" s="38"/>
      <c r="B28" s="38"/>
      <c r="C28" s="38"/>
      <c r="D28" s="38" t="s">
        <v>71</v>
      </c>
      <c r="E28" s="39" t="s">
        <v>35</v>
      </c>
      <c r="F28" s="38"/>
    </row>
    <row r="29" spans="1:6" ht="13.5" customHeight="1">
      <c r="A29" s="38"/>
      <c r="B29" s="38"/>
      <c r="C29" s="38"/>
      <c r="D29" s="38" t="s">
        <v>72</v>
      </c>
      <c r="E29" s="39" t="s">
        <v>35</v>
      </c>
      <c r="F29" s="38"/>
    </row>
    <row r="30" spans="1:6" ht="13.5" customHeight="1">
      <c r="A30" s="38"/>
      <c r="B30" s="38"/>
      <c r="C30" s="38"/>
      <c r="D30" s="38" t="s">
        <v>73</v>
      </c>
      <c r="E30" s="39" t="s">
        <v>35</v>
      </c>
      <c r="F30" s="38"/>
    </row>
    <row r="31" spans="1:6" ht="13.5" customHeight="1">
      <c r="A31" s="38"/>
      <c r="B31" s="38"/>
      <c r="C31" s="38"/>
      <c r="D31" s="38" t="s">
        <v>74</v>
      </c>
      <c r="E31" s="39" t="s">
        <v>35</v>
      </c>
      <c r="F31" s="38"/>
    </row>
    <row r="32" spans="1:6" ht="13.5" customHeight="1">
      <c r="A32" s="38"/>
      <c r="B32" s="38"/>
      <c r="C32" s="38"/>
      <c r="D32" s="38" t="s">
        <v>75</v>
      </c>
      <c r="E32" s="39" t="s">
        <v>35</v>
      </c>
      <c r="F32" s="38"/>
    </row>
    <row r="33" spans="1:6" ht="13.5" customHeight="1">
      <c r="A33" s="38"/>
      <c r="B33" s="38"/>
      <c r="C33" s="38"/>
      <c r="D33" s="38" t="s">
        <v>76</v>
      </c>
      <c r="E33" s="39" t="s">
        <v>35</v>
      </c>
      <c r="F33" s="38"/>
    </row>
    <row r="34" spans="1:6" ht="13.5" customHeight="1">
      <c r="A34" s="38"/>
      <c r="B34" s="38"/>
      <c r="C34" s="38"/>
      <c r="D34" s="38" t="s">
        <v>57</v>
      </c>
      <c r="E34" s="39" t="s">
        <v>35</v>
      </c>
      <c r="F34" s="38"/>
    </row>
    <row r="35" spans="1:6" ht="13.5" customHeight="1">
      <c r="A35" s="38"/>
      <c r="B35" s="38"/>
      <c r="C35" s="38"/>
      <c r="D35" s="38" t="s">
        <v>58</v>
      </c>
      <c r="E35" s="39" t="s">
        <v>35</v>
      </c>
      <c r="F35" s="38" t="s">
        <v>59</v>
      </c>
    </row>
    <row r="36" spans="1:6" ht="13.5" customHeight="1">
      <c r="A36" s="38"/>
      <c r="B36" s="38"/>
      <c r="C36" s="38"/>
      <c r="D36" s="38" t="s">
        <v>60</v>
      </c>
      <c r="E36" s="39" t="s">
        <v>35</v>
      </c>
      <c r="F36" s="38"/>
    </row>
    <row r="37" spans="1:6" ht="13.5" customHeight="1">
      <c r="A37" s="38"/>
      <c r="B37" s="38" t="s">
        <v>77</v>
      </c>
      <c r="C37" s="38" t="s">
        <v>33</v>
      </c>
      <c r="D37" s="38" t="s">
        <v>78</v>
      </c>
      <c r="E37" s="39" t="s">
        <v>35</v>
      </c>
      <c r="F37" s="38" t="s">
        <v>79</v>
      </c>
    </row>
    <row r="38" spans="1:6" ht="13.5" customHeight="1">
      <c r="A38" s="38"/>
      <c r="B38" s="38"/>
      <c r="C38" s="38"/>
      <c r="D38" s="38" t="s">
        <v>80</v>
      </c>
      <c r="E38" s="39" t="s">
        <v>35</v>
      </c>
      <c r="F38" s="38" t="s">
        <v>81</v>
      </c>
    </row>
    <row r="39" spans="1:6" ht="13.5" customHeight="1">
      <c r="A39" s="38"/>
      <c r="B39" s="38"/>
      <c r="C39" s="38"/>
      <c r="D39" s="38" t="s">
        <v>82</v>
      </c>
      <c r="E39" s="39" t="s">
        <v>35</v>
      </c>
      <c r="F39" s="38"/>
    </row>
    <row r="40" spans="1:6" ht="13.5" customHeight="1">
      <c r="A40" s="38"/>
      <c r="B40" s="38"/>
      <c r="C40" s="38"/>
      <c r="D40" s="38" t="s">
        <v>83</v>
      </c>
      <c r="E40" s="39" t="s">
        <v>35</v>
      </c>
      <c r="F40" s="38"/>
    </row>
    <row r="41" spans="1:6" ht="13.5" customHeight="1">
      <c r="A41" s="38"/>
      <c r="B41" s="38"/>
      <c r="C41" s="38"/>
      <c r="D41" s="38" t="s">
        <v>84</v>
      </c>
      <c r="E41" s="39" t="s">
        <v>35</v>
      </c>
      <c r="F41" s="38"/>
    </row>
    <row r="42" spans="1:6" ht="13.5" customHeight="1">
      <c r="A42" s="38"/>
      <c r="B42" s="38"/>
      <c r="C42" s="38"/>
      <c r="D42" s="38" t="s">
        <v>87</v>
      </c>
      <c r="E42" s="39" t="s">
        <v>35</v>
      </c>
      <c r="F42" s="38" t="s">
        <v>88</v>
      </c>
    </row>
    <row r="43" spans="1:6" ht="13.5" customHeight="1">
      <c r="A43" s="38"/>
      <c r="B43" s="38"/>
      <c r="C43" s="38"/>
      <c r="D43" s="38" t="s">
        <v>89</v>
      </c>
      <c r="E43" s="39" t="s">
        <v>35</v>
      </c>
      <c r="F43" s="38" t="s">
        <v>90</v>
      </c>
    </row>
    <row r="44" spans="1:6" ht="13.5" customHeight="1">
      <c r="A44" s="38"/>
      <c r="B44" s="38"/>
      <c r="C44" s="38" t="s">
        <v>52</v>
      </c>
      <c r="D44" s="38" t="s">
        <v>85</v>
      </c>
      <c r="E44" s="39" t="s">
        <v>35</v>
      </c>
      <c r="F44" s="38"/>
    </row>
    <row r="45" spans="1:6" ht="13.5" customHeight="1">
      <c r="A45" s="38"/>
      <c r="B45" s="38"/>
      <c r="C45" s="38"/>
      <c r="D45" s="38" t="s">
        <v>86</v>
      </c>
      <c r="E45" s="39" t="s">
        <v>35</v>
      </c>
      <c r="F45" s="38"/>
    </row>
  </sheetData>
  <autoFilter ref="A1:F15" xr:uid="{00000000-0009-0000-0000-000001000000}"/>
  <pageMargins left="0.39374999999999999" right="0.39374999999999999" top="0.39374999999999999" bottom="0.39374999999999999" header="0.511811023622047" footer="0.511811023622047"/>
  <pageSetup paperSize="9" scale="93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20"/>
  <sheetViews>
    <sheetView zoomScaleNormal="100" workbookViewId="0">
      <selection activeCell="D10" sqref="D10"/>
    </sheetView>
  </sheetViews>
  <sheetFormatPr defaultColWidth="9" defaultRowHeight="13.8"/>
  <cols>
    <col min="1" max="1" width="1.33203125" style="40" customWidth="1"/>
    <col min="2" max="2" width="11.6640625" style="41" customWidth="1"/>
    <col min="3" max="3" width="26.44140625" style="42" customWidth="1"/>
    <col min="4" max="4" width="17.109375" style="42" customWidth="1"/>
    <col min="5" max="5" width="28.109375" style="42" customWidth="1"/>
    <col min="6" max="6" width="30.6640625" style="42" customWidth="1"/>
    <col min="7" max="257" width="9" style="40"/>
  </cols>
  <sheetData>
    <row r="1" spans="2:6" ht="24.75" customHeight="1">
      <c r="B1" s="43"/>
      <c r="D1" s="44" t="s">
        <v>91</v>
      </c>
      <c r="E1" s="45"/>
    </row>
    <row r="2" spans="2:6" ht="13.5" customHeight="1">
      <c r="B2" s="43"/>
      <c r="D2" s="46"/>
      <c r="E2" s="46"/>
    </row>
    <row r="3" spans="2:6" ht="12.75" customHeight="1">
      <c r="B3" s="124" t="s">
        <v>1</v>
      </c>
      <c r="C3" s="124"/>
      <c r="D3" s="125" t="str">
        <f>Cover!C4</f>
        <v>Dò vé số</v>
      </c>
      <c r="E3" s="125"/>
      <c r="F3" s="125"/>
    </row>
    <row r="4" spans="2:6" ht="12.75" customHeight="1">
      <c r="B4" s="124" t="s">
        <v>5</v>
      </c>
      <c r="C4" s="124"/>
      <c r="D4" s="125" t="str">
        <f>Cover!C5</f>
        <v>Lab301x</v>
      </c>
      <c r="E4" s="125"/>
      <c r="F4" s="125"/>
    </row>
    <row r="5" spans="2:6" s="47" customFormat="1" ht="84.75" customHeight="1">
      <c r="B5" s="126" t="s">
        <v>92</v>
      </c>
      <c r="C5" s="126"/>
      <c r="D5" s="127" t="s">
        <v>93</v>
      </c>
      <c r="E5" s="127"/>
      <c r="F5" s="127"/>
    </row>
    <row r="6" spans="2:6" ht="12.75" customHeight="1">
      <c r="B6" s="48"/>
      <c r="C6" s="40"/>
      <c r="D6" s="40"/>
      <c r="E6" s="40"/>
      <c r="F6" s="40"/>
    </row>
    <row r="7" spans="2:6" s="49" customFormat="1" ht="12.75" customHeight="1">
      <c r="B7" s="50"/>
      <c r="C7" s="51"/>
      <c r="D7" s="51"/>
      <c r="E7" s="51"/>
      <c r="F7" s="51"/>
    </row>
    <row r="8" spans="2:6" s="52" customFormat="1" ht="21" customHeight="1">
      <c r="B8" s="53" t="s">
        <v>94</v>
      </c>
      <c r="C8" s="54" t="s">
        <v>95</v>
      </c>
      <c r="D8" s="54" t="s">
        <v>96</v>
      </c>
      <c r="E8" s="55" t="s">
        <v>97</v>
      </c>
      <c r="F8" s="56" t="s">
        <v>98</v>
      </c>
    </row>
    <row r="9" spans="2:6" ht="25.5" customHeight="1">
      <c r="B9" s="57" t="s">
        <v>99</v>
      </c>
      <c r="C9" s="58" t="s">
        <v>100</v>
      </c>
      <c r="D9" s="59" t="s">
        <v>101</v>
      </c>
      <c r="E9" s="60" t="s">
        <v>102</v>
      </c>
      <c r="F9" s="61" t="s">
        <v>103</v>
      </c>
    </row>
    <row r="10" spans="2:6" ht="25.5" customHeight="1">
      <c r="B10" s="57" t="s">
        <v>104</v>
      </c>
      <c r="C10" s="58" t="s">
        <v>105</v>
      </c>
      <c r="D10" s="59" t="s">
        <v>106</v>
      </c>
      <c r="E10" s="60" t="s">
        <v>107</v>
      </c>
      <c r="F10" s="61" t="s">
        <v>108</v>
      </c>
    </row>
    <row r="11" spans="2:6" ht="25.5" customHeight="1">
      <c r="B11" s="57" t="s">
        <v>109</v>
      </c>
      <c r="C11" s="58" t="s">
        <v>110</v>
      </c>
      <c r="D11" s="59" t="s">
        <v>106</v>
      </c>
      <c r="E11" s="60" t="s">
        <v>111</v>
      </c>
      <c r="F11" s="61" t="s">
        <v>112</v>
      </c>
    </row>
    <row r="12" spans="2:6" ht="12.75" customHeight="1">
      <c r="B12" s="57"/>
      <c r="C12" s="58"/>
      <c r="D12" s="59"/>
      <c r="E12" s="59"/>
      <c r="F12" s="62"/>
    </row>
    <row r="13" spans="2:6" ht="12.75" customHeight="1">
      <c r="B13" s="57"/>
      <c r="C13" s="58"/>
      <c r="D13" s="59"/>
      <c r="E13" s="63"/>
      <c r="F13" s="62"/>
    </row>
    <row r="14" spans="2:6" ht="12.75" customHeight="1">
      <c r="B14" s="57"/>
      <c r="C14" s="58"/>
      <c r="D14" s="59"/>
      <c r="E14" s="63"/>
      <c r="F14" s="62"/>
    </row>
    <row r="15" spans="2:6" ht="12.75" customHeight="1">
      <c r="B15" s="64"/>
      <c r="C15" s="65"/>
      <c r="D15" s="66"/>
      <c r="E15" s="66"/>
      <c r="F15" s="67"/>
    </row>
    <row r="16" spans="2:6" ht="12.75" customHeight="1">
      <c r="B16" s="64"/>
      <c r="C16" s="65"/>
      <c r="D16" s="66"/>
      <c r="E16" s="66"/>
      <c r="F16" s="67"/>
    </row>
    <row r="17" spans="2:6" ht="12.75" customHeight="1">
      <c r="B17" s="64"/>
      <c r="C17" s="65"/>
      <c r="D17" s="66"/>
      <c r="E17" s="66"/>
      <c r="F17" s="67"/>
    </row>
    <row r="18" spans="2:6" ht="12.75" customHeight="1">
      <c r="B18" s="64"/>
      <c r="C18" s="65"/>
      <c r="D18" s="66"/>
      <c r="E18" s="66"/>
      <c r="F18" s="67"/>
    </row>
    <row r="19" spans="2:6" ht="12.75" customHeight="1">
      <c r="B19" s="64"/>
      <c r="C19" s="65"/>
      <c r="D19" s="66"/>
      <c r="E19" s="66"/>
      <c r="F19" s="67"/>
    </row>
    <row r="20" spans="2:6" ht="12.75" customHeight="1">
      <c r="B20" s="68"/>
      <c r="C20" s="69"/>
      <c r="D20" s="70"/>
      <c r="E20" s="70"/>
      <c r="F20" s="71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Module1!B10" display="Module1" xr:uid="{00000000-0004-0000-0200-000000000000}"/>
    <hyperlink ref="D11" location="Module2!B17" display="Module2" xr:uid="{00000000-0004-0000-0200-000002000000}"/>
    <hyperlink ref="D10" location="Module2!B17" display="Module2" xr:uid="{AC1A2021-4C30-4888-B808-5373AD1727FC}"/>
  </hyperlinks>
  <pageMargins left="0.74791666666666701" right="0.74791666666666701" top="0.98402777777777795" bottom="1.15069444444444" header="0.511811023622047" footer="0.98402777777777795"/>
  <pageSetup paperSize="9"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27"/>
  <sheetViews>
    <sheetView zoomScale="85" zoomScaleNormal="85" workbookViewId="0">
      <pane ySplit="8" topLeftCell="A9" activePane="bottomLeft" state="frozen"/>
      <selection pane="bottomLeft" activeCell="B10" sqref="B10"/>
    </sheetView>
  </sheetViews>
  <sheetFormatPr defaultColWidth="9" defaultRowHeight="13.8"/>
  <cols>
    <col min="1" max="1" width="17.44140625" style="47" customWidth="1"/>
    <col min="2" max="5" width="40.77734375" style="47" customWidth="1"/>
    <col min="6" max="7" width="10.77734375" style="47" customWidth="1"/>
    <col min="8" max="8" width="20.88671875" style="47" customWidth="1"/>
    <col min="9" max="9" width="8.109375" style="72" customWidth="1"/>
    <col min="10" max="10" width="8.44140625" style="47" customWidth="1"/>
    <col min="11" max="257" width="9" style="47"/>
    <col min="258" max="16384" width="9" style="73"/>
  </cols>
  <sheetData>
    <row r="1" spans="1:10" s="77" customFormat="1" ht="12.75" customHeight="1">
      <c r="A1" s="74"/>
      <c r="B1" s="74"/>
      <c r="C1" s="74"/>
      <c r="D1" s="74"/>
      <c r="E1" s="74"/>
      <c r="F1" s="75"/>
      <c r="G1" s="76"/>
      <c r="H1" s="47"/>
      <c r="I1" s="72"/>
    </row>
    <row r="2" spans="1:10" s="77" customFormat="1" ht="12.75" customHeight="1">
      <c r="A2" s="78" t="s">
        <v>113</v>
      </c>
      <c r="B2" s="128" t="s">
        <v>101</v>
      </c>
      <c r="C2" s="128"/>
      <c r="D2" s="128"/>
      <c r="E2" s="128"/>
      <c r="F2" s="128"/>
      <c r="G2" s="128"/>
      <c r="H2" s="128"/>
      <c r="I2" s="72"/>
      <c r="J2" s="77" t="s">
        <v>114</v>
      </c>
    </row>
    <row r="3" spans="1:10" s="77" customFormat="1" ht="12.75" customHeight="1">
      <c r="A3" s="79" t="s">
        <v>115</v>
      </c>
      <c r="B3" s="129" t="s">
        <v>116</v>
      </c>
      <c r="C3" s="129"/>
      <c r="D3" s="129"/>
      <c r="E3" s="129"/>
      <c r="F3" s="129"/>
      <c r="G3" s="129"/>
      <c r="H3" s="129"/>
      <c r="I3" s="72"/>
      <c r="J3" s="77" t="s">
        <v>117</v>
      </c>
    </row>
    <row r="4" spans="1:10" s="77" customFormat="1" ht="12.75" customHeight="1">
      <c r="A4" s="78" t="s">
        <v>118</v>
      </c>
      <c r="B4" s="128"/>
      <c r="C4" s="128"/>
      <c r="D4" s="128"/>
      <c r="E4" s="128"/>
      <c r="F4" s="128"/>
      <c r="G4" s="128"/>
      <c r="H4" s="128"/>
      <c r="I4" s="72"/>
      <c r="J4" s="77" t="s">
        <v>119</v>
      </c>
    </row>
    <row r="5" spans="1:10" s="77" customFormat="1" ht="12.75" customHeight="1">
      <c r="A5" s="80" t="s">
        <v>114</v>
      </c>
      <c r="B5" s="3" t="s">
        <v>117</v>
      </c>
      <c r="C5" s="3" t="s">
        <v>120</v>
      </c>
      <c r="D5" s="3" t="s">
        <v>119</v>
      </c>
      <c r="E5" s="81" t="s">
        <v>121</v>
      </c>
      <c r="F5" s="130" t="s">
        <v>122</v>
      </c>
      <c r="G5" s="130"/>
      <c r="H5" s="130"/>
      <c r="I5" s="82"/>
      <c r="J5" s="77" t="s">
        <v>120</v>
      </c>
    </row>
    <row r="6" spans="1:10" s="77" customFormat="1" ht="12.75" customHeight="1">
      <c r="A6" s="83">
        <f>COUNTIF(F9:F995,"Passed")</f>
        <v>16</v>
      </c>
      <c r="B6" s="2">
        <f>COUNTIF(F9:F995,"Failed")</f>
        <v>0</v>
      </c>
      <c r="C6" s="2">
        <f>F6-E6-D6-B6-A6</f>
        <v>0</v>
      </c>
      <c r="D6" s="2">
        <f>COUNTIF(F$9:F$995,"Blocked")</f>
        <v>0</v>
      </c>
      <c r="E6" s="84">
        <f>COUNTIF(F$9:F$995,"Skipped")</f>
        <v>0</v>
      </c>
      <c r="F6" s="131">
        <f>COUNTA(A9:A995)</f>
        <v>16</v>
      </c>
      <c r="G6" s="131"/>
      <c r="H6" s="131"/>
      <c r="I6" s="82"/>
      <c r="J6" s="77" t="s">
        <v>121</v>
      </c>
    </row>
    <row r="7" spans="1:10" s="77" customFormat="1" ht="12.75" customHeight="1">
      <c r="D7" s="85"/>
      <c r="E7" s="85"/>
      <c r="F7" s="86"/>
      <c r="G7" s="86"/>
      <c r="H7" s="86"/>
      <c r="I7" s="82"/>
    </row>
    <row r="8" spans="1:10" s="77" customFormat="1" ht="12.75" customHeight="1">
      <c r="A8" s="36" t="s">
        <v>123</v>
      </c>
      <c r="B8" s="36" t="s">
        <v>124</v>
      </c>
      <c r="C8" s="36" t="s">
        <v>125</v>
      </c>
      <c r="D8" s="36" t="s">
        <v>126</v>
      </c>
      <c r="E8" s="36" t="s">
        <v>127</v>
      </c>
      <c r="F8" s="36" t="s">
        <v>128</v>
      </c>
      <c r="G8" s="36" t="s">
        <v>129</v>
      </c>
      <c r="H8" s="36" t="s">
        <v>30</v>
      </c>
      <c r="I8" s="87"/>
    </row>
    <row r="9" spans="1:10" s="77" customFormat="1" ht="12.75" customHeight="1">
      <c r="A9" s="88"/>
      <c r="B9" s="88" t="s">
        <v>32</v>
      </c>
      <c r="C9" s="88"/>
      <c r="D9" s="88"/>
      <c r="E9" s="88"/>
      <c r="F9" s="88"/>
      <c r="G9" s="88"/>
      <c r="H9" s="88"/>
    </row>
    <row r="10" spans="1:10" s="91" customFormat="1" ht="79.2">
      <c r="A10" s="89" t="str">
        <f>IF(OR(B10&lt;&gt;"",D10&lt;&gt;""),"[" &amp;TEXT($B$2,"##")&amp;"-"&amp;TEXT(1,"00")&amp;"]","")</f>
        <v>[Module1-01]</v>
      </c>
      <c r="B10" s="89" t="s">
        <v>34</v>
      </c>
      <c r="C10" s="89" t="s">
        <v>130</v>
      </c>
      <c r="D10" s="89" t="s">
        <v>222</v>
      </c>
      <c r="E10" s="89" t="s">
        <v>38</v>
      </c>
      <c r="F10" s="90" t="s">
        <v>114</v>
      </c>
      <c r="G10" s="119" t="s">
        <v>11</v>
      </c>
      <c r="H10" s="89"/>
    </row>
    <row r="11" spans="1:10" ht="66">
      <c r="A11" s="89" t="str">
        <f>IF(OR(B11&lt;&gt;"",D11&lt;&gt;""),"[" &amp;TEXT($B$2,"##")&amp;"-"&amp;TEXT(2,"00")&amp;"]","")</f>
        <v>[Module1-02]</v>
      </c>
      <c r="B11" s="89" t="s">
        <v>37</v>
      </c>
      <c r="C11" s="89" t="s">
        <v>131</v>
      </c>
      <c r="D11" s="89" t="s">
        <v>132</v>
      </c>
      <c r="E11" s="89" t="s">
        <v>38</v>
      </c>
      <c r="F11" s="90" t="s">
        <v>114</v>
      </c>
      <c r="G11" s="119" t="s">
        <v>11</v>
      </c>
      <c r="H11" s="89"/>
    </row>
    <row r="12" spans="1:10" ht="39.6">
      <c r="A12" s="89" t="str">
        <f>IF(OR(B12&lt;&gt;"",D12&lt;&gt;""),"[" &amp;TEXT($B$2,"##")&amp;"-"&amp;TEXT(3,"00")&amp;"]","")</f>
        <v>[Module1-03]</v>
      </c>
      <c r="B12" s="89" t="s">
        <v>39</v>
      </c>
      <c r="C12" s="89" t="s">
        <v>133</v>
      </c>
      <c r="D12" s="89" t="s">
        <v>134</v>
      </c>
      <c r="E12" s="89" t="s">
        <v>40</v>
      </c>
      <c r="F12" s="90" t="s">
        <v>114</v>
      </c>
      <c r="G12" s="119" t="s">
        <v>11</v>
      </c>
      <c r="H12" s="89"/>
    </row>
    <row r="13" spans="1:10" s="77" customFormat="1" ht="51.75" customHeight="1">
      <c r="A13" s="89" t="str">
        <f>IF(OR(B13&lt;&gt;"",D13&lt;&gt;""),"[" &amp;TEXT($B$2,"##")&amp;"-"&amp;TEXT(4,"00")&amp;"]","")</f>
        <v>[Module1-04]</v>
      </c>
      <c r="B13" s="89" t="s">
        <v>41</v>
      </c>
      <c r="C13" s="89" t="s">
        <v>135</v>
      </c>
      <c r="D13" s="89" t="s">
        <v>221</v>
      </c>
      <c r="E13" s="89" t="s">
        <v>42</v>
      </c>
      <c r="F13" s="90" t="s">
        <v>114</v>
      </c>
      <c r="G13" s="119" t="s">
        <v>11</v>
      </c>
      <c r="H13" s="89"/>
    </row>
    <row r="14" spans="1:10" ht="52.8">
      <c r="A14" s="89" t="str">
        <f>IF(OR(B14&lt;&gt;"",D14&lt;&gt;""),"[" &amp;TEXT($B$2,"##")&amp;"-"&amp;TEXT(5,"00")&amp;"]","")</f>
        <v>[Module1-05]</v>
      </c>
      <c r="B14" s="89" t="s">
        <v>43</v>
      </c>
      <c r="C14" s="89" t="s">
        <v>136</v>
      </c>
      <c r="D14" s="89" t="s">
        <v>137</v>
      </c>
      <c r="E14" s="89" t="s">
        <v>44</v>
      </c>
      <c r="F14" s="90" t="s">
        <v>114</v>
      </c>
      <c r="G14" s="119" t="s">
        <v>11</v>
      </c>
      <c r="H14" s="89"/>
    </row>
    <row r="15" spans="1:10" ht="39" customHeight="1">
      <c r="A15" s="89" t="str">
        <f>IF(OR(B15&lt;&gt;"",D15&lt;&gt;""),"[" &amp;TEXT($B$2,"##")&amp;"-"&amp;TEXT(6,"00")&amp;"]","")</f>
        <v>[Module1-06]</v>
      </c>
      <c r="B15" s="89" t="s">
        <v>45</v>
      </c>
      <c r="C15" s="89" t="s">
        <v>138</v>
      </c>
      <c r="D15" s="89" t="s">
        <v>139</v>
      </c>
      <c r="E15" s="89" t="s">
        <v>46</v>
      </c>
      <c r="F15" s="90" t="s">
        <v>114</v>
      </c>
      <c r="G15" s="119" t="s">
        <v>11</v>
      </c>
      <c r="H15" s="89"/>
    </row>
    <row r="16" spans="1:10" s="77" customFormat="1" ht="12.75" customHeight="1">
      <c r="A16" s="88"/>
      <c r="B16" s="88" t="s">
        <v>47</v>
      </c>
      <c r="C16" s="88"/>
      <c r="D16" s="88"/>
      <c r="E16" s="88"/>
      <c r="F16" s="88"/>
      <c r="G16" s="88"/>
      <c r="H16" s="88"/>
    </row>
    <row r="17" spans="1:8" ht="26.25" customHeight="1">
      <c r="A17" s="89" t="str">
        <f>IF(OR(B17&lt;&gt;"",D17&lt;&gt;""),"[" &amp;TEXT($B$2,"##")&amp;"-"&amp;TEXT(7,"00")&amp;"]","")</f>
        <v>[Module1-07]</v>
      </c>
      <c r="B17" s="89" t="s">
        <v>48</v>
      </c>
      <c r="C17" s="89" t="s">
        <v>140</v>
      </c>
      <c r="D17" s="89" t="s">
        <v>141</v>
      </c>
      <c r="E17" s="89"/>
      <c r="F17" s="90" t="s">
        <v>114</v>
      </c>
      <c r="G17" s="119" t="s">
        <v>11</v>
      </c>
      <c r="H17" s="89"/>
    </row>
    <row r="18" spans="1:8" ht="52.8">
      <c r="A18" s="89" t="str">
        <f>IF(OR(B18&lt;&gt;"",D18&lt;&gt;""),"[" &amp;TEXT($B$2,"##")&amp;"-"&amp;TEXT(8,"00")&amp;"]","")</f>
        <v>[Module1-08]</v>
      </c>
      <c r="B18" s="89" t="s">
        <v>49</v>
      </c>
      <c r="C18" s="89" t="s">
        <v>142</v>
      </c>
      <c r="D18" s="89" t="s">
        <v>143</v>
      </c>
      <c r="E18" s="89"/>
      <c r="F18" s="90" t="s">
        <v>114</v>
      </c>
      <c r="G18" s="119" t="s">
        <v>11</v>
      </c>
      <c r="H18" s="89"/>
    </row>
    <row r="19" spans="1:8" ht="39" customHeight="1">
      <c r="A19" s="89" t="str">
        <f>IF(OR(B19&lt;&gt;"",D19&lt;&gt;""),"[" &amp;TEXT($B$2,"##")&amp;"-"&amp;TEXT(9,"00")&amp;"]","")</f>
        <v>[Module1-09]</v>
      </c>
      <c r="B19" s="89" t="s">
        <v>50</v>
      </c>
      <c r="C19" s="89" t="s">
        <v>144</v>
      </c>
      <c r="D19" s="89" t="s">
        <v>145</v>
      </c>
      <c r="E19" s="89"/>
      <c r="F19" s="90" t="s">
        <v>114</v>
      </c>
      <c r="G19" s="119" t="s">
        <v>11</v>
      </c>
      <c r="H19" s="89"/>
    </row>
    <row r="20" spans="1:8" ht="12.75" customHeight="1">
      <c r="A20" s="88"/>
      <c r="B20" s="88" t="s">
        <v>51</v>
      </c>
      <c r="C20" s="88"/>
      <c r="D20" s="88"/>
      <c r="E20" s="88"/>
      <c r="F20" s="88"/>
      <c r="G20" s="88"/>
      <c r="H20" s="88"/>
    </row>
    <row r="21" spans="1:8" ht="26.25" customHeight="1">
      <c r="A21" s="89" t="str">
        <f>IF(OR(B21&lt;&gt;"",D21&lt;&gt;""),"[" &amp;TEXT($B$2,"##")&amp;"-"&amp;TEXT(10,"00")&amp;"]","")</f>
        <v>[Module1-10]</v>
      </c>
      <c r="B21" s="89" t="s">
        <v>53</v>
      </c>
      <c r="C21" s="89" t="s">
        <v>146</v>
      </c>
      <c r="D21" s="89" t="s">
        <v>147</v>
      </c>
      <c r="E21" s="89"/>
      <c r="F21" s="90" t="s">
        <v>114</v>
      </c>
      <c r="G21" s="119" t="s">
        <v>11</v>
      </c>
      <c r="H21" s="89"/>
    </row>
    <row r="22" spans="1:8" ht="26.25" customHeight="1">
      <c r="A22" s="89" t="str">
        <f>IF(OR(B22&lt;&gt;"",D22&lt;&gt;""),"[" &amp;TEXT($B$2,"##")&amp;"-"&amp;TEXT(11,"00")&amp;"]","")</f>
        <v>[Module1-11]</v>
      </c>
      <c r="B22" s="89" t="s">
        <v>54</v>
      </c>
      <c r="C22" s="89" t="s">
        <v>148</v>
      </c>
      <c r="D22" s="89" t="s">
        <v>149</v>
      </c>
      <c r="E22" s="89"/>
      <c r="F22" s="90" t="s">
        <v>114</v>
      </c>
      <c r="G22" s="119" t="s">
        <v>11</v>
      </c>
      <c r="H22" s="89"/>
    </row>
    <row r="23" spans="1:8" ht="52.8">
      <c r="A23" s="89" t="str">
        <f>IF(OR(B23&lt;&gt;"",D23&lt;&gt;""),"[" &amp;TEXT($B$2,"##")&amp;"-"&amp;TEXT(12,"00")&amp;"]","")</f>
        <v>[Module1-12]</v>
      </c>
      <c r="B23" s="89" t="s">
        <v>55</v>
      </c>
      <c r="C23" s="89" t="s">
        <v>150</v>
      </c>
      <c r="D23" s="89" t="s">
        <v>151</v>
      </c>
      <c r="E23" s="89"/>
      <c r="F23" s="90" t="s">
        <v>114</v>
      </c>
      <c r="G23" s="119" t="s">
        <v>11</v>
      </c>
      <c r="H23" s="89"/>
    </row>
    <row r="24" spans="1:8" ht="39" customHeight="1">
      <c r="A24" s="89" t="str">
        <f>IF(OR(B24&lt;&gt;"",D24&lt;&gt;""),"[" &amp;TEXT($B$2,"##")&amp;"-"&amp;TEXT(13,"00")&amp;"]","")</f>
        <v>[Module1-13]</v>
      </c>
      <c r="B24" s="89" t="s">
        <v>56</v>
      </c>
      <c r="C24" s="89" t="s">
        <v>152</v>
      </c>
      <c r="D24" s="89" t="s">
        <v>153</v>
      </c>
      <c r="E24" s="89"/>
      <c r="F24" s="90" t="s">
        <v>114</v>
      </c>
      <c r="G24" s="119" t="s">
        <v>11</v>
      </c>
      <c r="H24" s="89"/>
    </row>
    <row r="25" spans="1:8" ht="26.25" customHeight="1">
      <c r="A25" s="89" t="str">
        <f>IF(OR(B25&lt;&gt;"",D25&lt;&gt;""),"[" &amp;TEXT($B$2,"##")&amp;"-"&amp;TEXT(14,"00")&amp;"]","")</f>
        <v>[Module1-14]</v>
      </c>
      <c r="B25" s="89" t="s">
        <v>57</v>
      </c>
      <c r="C25" s="89" t="s">
        <v>154</v>
      </c>
      <c r="D25" s="89" t="s">
        <v>155</v>
      </c>
      <c r="E25" s="89"/>
      <c r="F25" s="90" t="s">
        <v>114</v>
      </c>
      <c r="G25" s="119" t="s">
        <v>11</v>
      </c>
      <c r="H25" s="89"/>
    </row>
    <row r="26" spans="1:8" ht="39" customHeight="1">
      <c r="A26" s="89" t="str">
        <f>IF(OR(B26&lt;&gt;"",D26&lt;&gt;""),"[" &amp;TEXT($B$2,"##")&amp;"-"&amp;TEXT(15,"00")&amp;"]","")</f>
        <v>[Module1-15]</v>
      </c>
      <c r="B26" s="89" t="s">
        <v>58</v>
      </c>
      <c r="C26" s="89" t="s">
        <v>156</v>
      </c>
      <c r="D26" s="89" t="s">
        <v>157</v>
      </c>
      <c r="E26" s="89" t="s">
        <v>59</v>
      </c>
      <c r="F26" s="90" t="s">
        <v>114</v>
      </c>
      <c r="G26" s="119" t="s">
        <v>11</v>
      </c>
      <c r="H26" s="89"/>
    </row>
    <row r="27" spans="1:8" ht="39.6">
      <c r="A27" s="89" t="str">
        <f>IF(OR(B27&lt;&gt;"",D27&lt;&gt;""),"[" &amp;TEXT($B$2,"##")&amp;"-"&amp;TEXT(16,"00")&amp;"]","")</f>
        <v>[Module1-16]</v>
      </c>
      <c r="B27" s="89" t="s">
        <v>60</v>
      </c>
      <c r="C27" s="89" t="s">
        <v>158</v>
      </c>
      <c r="D27" s="89" t="s">
        <v>157</v>
      </c>
      <c r="E27" s="89"/>
      <c r="F27" s="90" t="s">
        <v>114</v>
      </c>
      <c r="G27" s="119" t="s">
        <v>11</v>
      </c>
      <c r="H27" s="89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7:F144" xr:uid="{00000000-0002-0000-0300-000000000000}">
      <formula1>$J$2:$J$6</formula1>
      <formula2>0</formula2>
    </dataValidation>
  </dataValidations>
  <pageMargins left="0.74791666666666701" right="0.25" top="0.75" bottom="0.98402777777777795" header="0.5" footer="0.5"/>
  <pageSetup paperSize="9" orientation="landscape" horizontalDpi="300" verticalDpi="300"/>
  <headerFooter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39"/>
  <sheetViews>
    <sheetView tabSelected="1" zoomScale="85" zoomScaleNormal="85" workbookViewId="0">
      <selection activeCell="B12" sqref="B12"/>
    </sheetView>
  </sheetViews>
  <sheetFormatPr defaultColWidth="9" defaultRowHeight="13.8"/>
  <cols>
    <col min="1" max="1" width="17.44140625" style="47" customWidth="1"/>
    <col min="2" max="5" width="40.77734375" style="47" customWidth="1"/>
    <col min="6" max="7" width="10.77734375" style="47" customWidth="1"/>
    <col min="8" max="8" width="20.88671875" style="47" customWidth="1"/>
    <col min="9" max="9" width="8.109375" style="72" customWidth="1"/>
    <col min="10" max="10" width="8.44140625" style="47" customWidth="1"/>
    <col min="11" max="257" width="9" style="47"/>
    <col min="258" max="16384" width="9" style="73"/>
  </cols>
  <sheetData>
    <row r="1" spans="1:10" s="77" customFormat="1" ht="12.75" customHeight="1">
      <c r="A1" s="74"/>
      <c r="B1" s="74"/>
      <c r="C1" s="74"/>
      <c r="D1" s="74"/>
      <c r="E1" s="74"/>
      <c r="F1" s="75"/>
      <c r="G1" s="76"/>
      <c r="H1" s="47"/>
      <c r="I1" s="72"/>
    </row>
    <row r="2" spans="1:10" s="77" customFormat="1" ht="12.75" customHeight="1">
      <c r="A2" s="78" t="s">
        <v>113</v>
      </c>
      <c r="B2" s="128" t="s">
        <v>106</v>
      </c>
      <c r="C2" s="128"/>
      <c r="D2" s="128"/>
      <c r="E2" s="128"/>
      <c r="F2" s="128"/>
      <c r="G2" s="128"/>
      <c r="H2" s="128"/>
      <c r="I2" s="72"/>
      <c r="J2" s="77" t="s">
        <v>114</v>
      </c>
    </row>
    <row r="3" spans="1:10" s="77" customFormat="1" ht="12.75" customHeight="1">
      <c r="A3" s="79" t="s">
        <v>115</v>
      </c>
      <c r="B3" s="129" t="s">
        <v>159</v>
      </c>
      <c r="C3" s="129"/>
      <c r="D3" s="129"/>
      <c r="E3" s="129"/>
      <c r="F3" s="129"/>
      <c r="G3" s="129"/>
      <c r="H3" s="129"/>
      <c r="I3" s="72"/>
      <c r="J3" s="77" t="s">
        <v>117</v>
      </c>
    </row>
    <row r="4" spans="1:10" s="77" customFormat="1" ht="12.75" customHeight="1">
      <c r="A4" s="78" t="s">
        <v>118</v>
      </c>
      <c r="B4" s="128"/>
      <c r="C4" s="128"/>
      <c r="D4" s="128"/>
      <c r="E4" s="128"/>
      <c r="F4" s="128"/>
      <c r="G4" s="128"/>
      <c r="H4" s="128"/>
      <c r="I4" s="72"/>
      <c r="J4" s="77" t="s">
        <v>119</v>
      </c>
    </row>
    <row r="5" spans="1:10" s="77" customFormat="1" ht="12.75" customHeight="1">
      <c r="A5" s="80" t="s">
        <v>114</v>
      </c>
      <c r="B5" s="3" t="s">
        <v>117</v>
      </c>
      <c r="C5" s="3" t="s">
        <v>120</v>
      </c>
      <c r="D5" s="3" t="s">
        <v>119</v>
      </c>
      <c r="E5" s="81" t="s">
        <v>121</v>
      </c>
      <c r="F5" s="130" t="s">
        <v>122</v>
      </c>
      <c r="G5" s="130"/>
      <c r="H5" s="130"/>
      <c r="I5" s="82"/>
      <c r="J5" s="77" t="s">
        <v>120</v>
      </c>
    </row>
    <row r="6" spans="1:10" s="77" customFormat="1" ht="12.75" customHeight="1">
      <c r="A6" s="83">
        <f>COUNTIF(F9:F991,"Passed")</f>
        <v>28</v>
      </c>
      <c r="B6" s="2">
        <f>COUNTIF(F9:F991,"Failed")</f>
        <v>0</v>
      </c>
      <c r="C6" s="2">
        <f>F6-E6-D6-B6-A6</f>
        <v>0</v>
      </c>
      <c r="D6" s="2">
        <f>COUNTIF(F$9:F$991,"Blocked")</f>
        <v>0</v>
      </c>
      <c r="E6" s="84">
        <f>COUNTIF(F$9:F$991,"Skipped")</f>
        <v>0</v>
      </c>
      <c r="F6" s="131">
        <f>COUNTA(A9:A991)</f>
        <v>28</v>
      </c>
      <c r="G6" s="131"/>
      <c r="H6" s="131"/>
      <c r="I6" s="82"/>
      <c r="J6" s="77" t="s">
        <v>121</v>
      </c>
    </row>
    <row r="7" spans="1:10" s="77" customFormat="1" ht="12.75" customHeight="1">
      <c r="D7" s="85"/>
      <c r="E7" s="85"/>
      <c r="F7" s="86"/>
      <c r="G7" s="86"/>
      <c r="H7" s="86"/>
      <c r="I7" s="82"/>
    </row>
    <row r="8" spans="1:10" s="77" customFormat="1" ht="12.75" customHeight="1">
      <c r="A8" s="36" t="s">
        <v>123</v>
      </c>
      <c r="B8" s="36" t="s">
        <v>124</v>
      </c>
      <c r="C8" s="36" t="s">
        <v>125</v>
      </c>
      <c r="D8" s="36" t="s">
        <v>126</v>
      </c>
      <c r="E8" s="36" t="s">
        <v>127</v>
      </c>
      <c r="F8" s="36" t="s">
        <v>128</v>
      </c>
      <c r="G8" s="36" t="s">
        <v>129</v>
      </c>
      <c r="H8" s="36" t="s">
        <v>30</v>
      </c>
      <c r="I8" s="87"/>
    </row>
    <row r="9" spans="1:10" s="77" customFormat="1" ht="12.75" customHeight="1">
      <c r="A9" s="88"/>
      <c r="B9" s="88" t="s">
        <v>32</v>
      </c>
      <c r="C9" s="88"/>
      <c r="D9" s="88"/>
      <c r="E9" s="88"/>
      <c r="F9" s="88"/>
      <c r="G9" s="88"/>
      <c r="H9" s="88"/>
    </row>
    <row r="10" spans="1:10" s="91" customFormat="1" ht="64.5" customHeight="1">
      <c r="A10" s="89" t="str">
        <f>IF(OR(B10&lt;&gt;"",D10&lt;&gt;""),"[" &amp;TEXT($B$2,"##")&amp;"-"&amp;TEXT(1,"00")&amp;"]","")</f>
        <v>[Module2-01]</v>
      </c>
      <c r="B10" s="89" t="s">
        <v>62</v>
      </c>
      <c r="C10" s="89" t="s">
        <v>160</v>
      </c>
      <c r="D10" s="89" t="s">
        <v>161</v>
      </c>
      <c r="E10" s="89" t="s">
        <v>63</v>
      </c>
      <c r="F10" s="90" t="s">
        <v>114</v>
      </c>
      <c r="G10" s="119" t="s">
        <v>11</v>
      </c>
      <c r="H10" s="89"/>
    </row>
    <row r="11" spans="1:10" ht="52.8">
      <c r="A11" s="89" t="str">
        <f>IF(OR(B11&lt;&gt;"",D11&lt;&gt;""),"[" &amp;TEXT($B$2,"##")&amp;"-"&amp;TEXT(2,"00")&amp;"]","")</f>
        <v>[Module2-02]</v>
      </c>
      <c r="B11" s="89" t="s">
        <v>64</v>
      </c>
      <c r="C11" s="89" t="s">
        <v>162</v>
      </c>
      <c r="D11" s="89" t="s">
        <v>163</v>
      </c>
      <c r="E11" s="89" t="s">
        <v>38</v>
      </c>
      <c r="F11" s="90" t="s">
        <v>114</v>
      </c>
      <c r="G11" s="119" t="s">
        <v>11</v>
      </c>
      <c r="H11" s="89"/>
    </row>
    <row r="12" spans="1:10" ht="26.25" customHeight="1">
      <c r="A12" s="89" t="str">
        <f>IF(OR(B12&lt;&gt;"",D12&lt;&gt;""),"[" &amp;TEXT($B$2,"##")&amp;"-"&amp;TEXT(3,"00")&amp;"]","")</f>
        <v>[Module2-03]</v>
      </c>
      <c r="B12" s="89" t="s">
        <v>65</v>
      </c>
      <c r="C12" s="89" t="s">
        <v>164</v>
      </c>
      <c r="D12" s="89" t="s">
        <v>165</v>
      </c>
      <c r="E12" s="89" t="s">
        <v>38</v>
      </c>
      <c r="F12" s="90" t="s">
        <v>114</v>
      </c>
      <c r="G12" s="119" t="s">
        <v>11</v>
      </c>
      <c r="H12" s="89"/>
    </row>
    <row r="13" spans="1:10" s="77" customFormat="1" ht="39" customHeight="1">
      <c r="A13" s="89" t="str">
        <f>IF(OR(B13&lt;&gt;"",D13&lt;&gt;""),"[" &amp;TEXT($B$2,"##")&amp;"-"&amp;TEXT(4,"00")&amp;"]","")</f>
        <v>[Module2-04]</v>
      </c>
      <c r="B13" s="89" t="s">
        <v>66</v>
      </c>
      <c r="C13" s="89" t="s">
        <v>166</v>
      </c>
      <c r="D13" s="89" t="s">
        <v>167</v>
      </c>
      <c r="E13" s="89" t="s">
        <v>38</v>
      </c>
      <c r="F13" s="90" t="s">
        <v>114</v>
      </c>
      <c r="G13" s="119" t="s">
        <v>11</v>
      </c>
      <c r="H13" s="89"/>
    </row>
    <row r="14" spans="1:10" ht="26.4">
      <c r="A14" s="89" t="str">
        <f>IF(OR(B14&lt;&gt;"",D14&lt;&gt;""),"[" &amp;TEXT($B$2,"##")&amp;"-"&amp;TEXT(5,"00")&amp;"]","")</f>
        <v>[Module2-05]</v>
      </c>
      <c r="B14" s="89" t="s">
        <v>67</v>
      </c>
      <c r="C14" s="89" t="s">
        <v>168</v>
      </c>
      <c r="D14" s="89" t="s">
        <v>169</v>
      </c>
      <c r="E14" s="89" t="s">
        <v>38</v>
      </c>
      <c r="F14" s="90" t="s">
        <v>114</v>
      </c>
      <c r="G14" s="119" t="s">
        <v>11</v>
      </c>
      <c r="H14" s="89"/>
    </row>
    <row r="15" spans="1:10" ht="26.25" customHeight="1">
      <c r="A15" s="89" t="str">
        <f>IF(OR(B15&lt;&gt;"",D15&lt;&gt;""),"[" &amp;TEXT($B$2,"##")&amp;"-"&amp;TEXT(6,"00")&amp;"]","")</f>
        <v>[Module2-06]</v>
      </c>
      <c r="B15" s="89" t="s">
        <v>68</v>
      </c>
      <c r="C15" s="89" t="s">
        <v>170</v>
      </c>
      <c r="D15" s="89" t="s">
        <v>171</v>
      </c>
      <c r="E15" s="89" t="s">
        <v>38</v>
      </c>
      <c r="F15" s="90" t="s">
        <v>114</v>
      </c>
      <c r="G15" s="119" t="s">
        <v>11</v>
      </c>
      <c r="H15" s="89"/>
    </row>
    <row r="16" spans="1:10" s="77" customFormat="1" ht="39" customHeight="1">
      <c r="A16" s="89" t="str">
        <f>IF(OR(B16&lt;&gt;"",D16&lt;&gt;""),"[" &amp;TEXT($B$2,"##")&amp;"-"&amp;TEXT(7,"00")&amp;"]","")</f>
        <v>[Module2-07]</v>
      </c>
      <c r="B16" s="89" t="s">
        <v>39</v>
      </c>
      <c r="C16" s="89" t="s">
        <v>172</v>
      </c>
      <c r="D16" s="89" t="s">
        <v>173</v>
      </c>
      <c r="E16" s="89" t="s">
        <v>40</v>
      </c>
      <c r="F16" s="90" t="s">
        <v>114</v>
      </c>
      <c r="G16" s="119" t="s">
        <v>11</v>
      </c>
      <c r="H16" s="89"/>
    </row>
    <row r="17" spans="1:8" ht="52.8">
      <c r="A17" s="89" t="str">
        <f>IF(OR(B17&lt;&gt;"",D17&lt;&gt;""),"[" &amp;TEXT($B$2,"##")&amp;"-"&amp;TEXT(8,"00")&amp;"]","")</f>
        <v>[Module2-08]</v>
      </c>
      <c r="B17" s="89" t="s">
        <v>43</v>
      </c>
      <c r="C17" s="89" t="s">
        <v>174</v>
      </c>
      <c r="D17" s="89" t="s">
        <v>175</v>
      </c>
      <c r="E17" s="89" t="s">
        <v>44</v>
      </c>
      <c r="F17" s="90" t="s">
        <v>114</v>
      </c>
      <c r="G17" s="119" t="s">
        <v>11</v>
      </c>
      <c r="H17" s="89"/>
    </row>
    <row r="18" spans="1:8" ht="39" customHeight="1">
      <c r="A18" s="89" t="str">
        <f>IF(OR(B18&lt;&gt;"",D18&lt;&gt;""),"[" &amp;TEXT($B$2,"##")&amp;"-"&amp;TEXT(9,"00")&amp;"]","")</f>
        <v>[Module2-09]</v>
      </c>
      <c r="B18" s="89" t="s">
        <v>69</v>
      </c>
      <c r="C18" s="89" t="s">
        <v>176</v>
      </c>
      <c r="D18" s="89" t="s">
        <v>177</v>
      </c>
      <c r="E18" s="89" t="s">
        <v>70</v>
      </c>
      <c r="F18" s="90" t="s">
        <v>114</v>
      </c>
      <c r="G18" s="119" t="s">
        <v>11</v>
      </c>
      <c r="H18" s="89"/>
    </row>
    <row r="19" spans="1:8" ht="12.75" customHeight="1">
      <c r="A19" s="88"/>
      <c r="B19" s="88" t="s">
        <v>51</v>
      </c>
      <c r="C19" s="88"/>
      <c r="D19" s="88"/>
      <c r="E19" s="88"/>
      <c r="F19" s="88"/>
      <c r="G19" s="88"/>
      <c r="H19" s="88"/>
    </row>
    <row r="20" spans="1:8" ht="26.25" customHeight="1">
      <c r="A20" s="89" t="str">
        <f>IF(OR(B20&lt;&gt;"",D20&lt;&gt;""),"[" &amp;TEXT($B$2,"##")&amp;"-"&amp;TEXT(10,"00")&amp;"]","")</f>
        <v>[Module2-10]</v>
      </c>
      <c r="B20" s="89" t="s">
        <v>53</v>
      </c>
      <c r="C20" s="89" t="s">
        <v>178</v>
      </c>
      <c r="D20" s="89" t="s">
        <v>147</v>
      </c>
      <c r="E20" s="89"/>
      <c r="F20" s="90" t="s">
        <v>114</v>
      </c>
      <c r="G20" s="119" t="s">
        <v>11</v>
      </c>
      <c r="H20" s="89"/>
    </row>
    <row r="21" spans="1:8" ht="26.25" customHeight="1">
      <c r="A21" s="89" t="str">
        <f>IF(OR(B21&lt;&gt;"",D21&lt;&gt;""),"[" &amp;TEXT($B$2,"##")&amp;"-"&amp;TEXT(11,"00")&amp;"]","")</f>
        <v>[Module2-11]</v>
      </c>
      <c r="B21" s="89" t="s">
        <v>71</v>
      </c>
      <c r="C21" s="89" t="s">
        <v>179</v>
      </c>
      <c r="D21" s="89" t="s">
        <v>149</v>
      </c>
      <c r="E21" s="89"/>
      <c r="F21" s="90" t="s">
        <v>114</v>
      </c>
      <c r="G21" s="119" t="s">
        <v>11</v>
      </c>
      <c r="H21" s="89"/>
    </row>
    <row r="22" spans="1:8" ht="52.8">
      <c r="A22" s="89" t="str">
        <f>IF(OR(B22&lt;&gt;"",D22&lt;&gt;""),"[" &amp;TEXT($B$2,"##")&amp;"-"&amp;TEXT(12,"00")&amp;"]","")</f>
        <v>[Module2-12]</v>
      </c>
      <c r="B22" s="89" t="s">
        <v>72</v>
      </c>
      <c r="C22" s="89" t="s">
        <v>180</v>
      </c>
      <c r="D22" s="89" t="s">
        <v>181</v>
      </c>
      <c r="E22" s="89"/>
      <c r="F22" s="90" t="s">
        <v>114</v>
      </c>
      <c r="G22" s="119" t="s">
        <v>11</v>
      </c>
      <c r="H22" s="89"/>
    </row>
    <row r="23" spans="1:8" ht="52.8">
      <c r="A23" s="89" t="str">
        <f>IF(OR(B23&lt;&gt;"",D23&lt;&gt;""),"[" &amp;TEXT($B$2,"##")&amp;"-"&amp;TEXT(13,"00")&amp;"]","")</f>
        <v>[Module2-13]</v>
      </c>
      <c r="B23" s="89" t="s">
        <v>73</v>
      </c>
      <c r="C23" s="89" t="s">
        <v>182</v>
      </c>
      <c r="D23" s="89" t="s">
        <v>183</v>
      </c>
      <c r="E23" s="89"/>
      <c r="F23" s="90" t="s">
        <v>114</v>
      </c>
      <c r="G23" s="119" t="s">
        <v>11</v>
      </c>
      <c r="H23" s="89"/>
    </row>
    <row r="24" spans="1:8" ht="39.6">
      <c r="A24" s="89" t="str">
        <f>IF(OR(B24&lt;&gt;"",D24&lt;&gt;""),"[" &amp;TEXT($B$2,"##")&amp;"-"&amp;TEXT(14,"00")&amp;"]","")</f>
        <v>[Module2-14]</v>
      </c>
      <c r="B24" s="89" t="s">
        <v>74</v>
      </c>
      <c r="C24" s="89" t="s">
        <v>184</v>
      </c>
      <c r="D24" s="89" t="s">
        <v>185</v>
      </c>
      <c r="E24" s="89"/>
      <c r="F24" s="90" t="s">
        <v>114</v>
      </c>
      <c r="G24" s="119" t="s">
        <v>11</v>
      </c>
      <c r="H24" s="89"/>
    </row>
    <row r="25" spans="1:8" ht="26.25" customHeight="1">
      <c r="A25" s="89" t="str">
        <f>IF(OR(B25&lt;&gt;"",D25&lt;&gt;""),"[" &amp;TEXT($B$2,"##")&amp;"-"&amp;TEXT(15,"00")&amp;"]","")</f>
        <v>[Module2-15]</v>
      </c>
      <c r="B25" s="89" t="s">
        <v>75</v>
      </c>
      <c r="C25" s="89" t="s">
        <v>186</v>
      </c>
      <c r="D25" s="89" t="s">
        <v>187</v>
      </c>
      <c r="E25" s="89"/>
      <c r="F25" s="90" t="s">
        <v>114</v>
      </c>
      <c r="G25" s="119" t="s">
        <v>11</v>
      </c>
      <c r="H25" s="89"/>
    </row>
    <row r="26" spans="1:8" ht="39" customHeight="1">
      <c r="A26" s="89" t="str">
        <f>IF(OR(B26&lt;&gt;"",D26&lt;&gt;""),"[" &amp;TEXT($B$2,"##")&amp;"-"&amp;TEXT(16,"00")&amp;"]","")</f>
        <v>[Module2-16]</v>
      </c>
      <c r="B26" s="89" t="s">
        <v>76</v>
      </c>
      <c r="C26" s="89" t="s">
        <v>188</v>
      </c>
      <c r="D26" s="89" t="s">
        <v>189</v>
      </c>
      <c r="E26" s="89"/>
      <c r="F26" s="90" t="s">
        <v>114</v>
      </c>
      <c r="G26" s="119" t="s">
        <v>11</v>
      </c>
      <c r="H26" s="89"/>
    </row>
    <row r="27" spans="1:8" ht="26.25" customHeight="1">
      <c r="A27" s="89" t="str">
        <f>IF(OR(B27&lt;&gt;"",D27&lt;&gt;""),"[" &amp;TEXT($B$2,"##")&amp;"-"&amp;TEXT(17,"00")&amp;"]","")</f>
        <v>[Module2-17]</v>
      </c>
      <c r="B27" s="89" t="s">
        <v>57</v>
      </c>
      <c r="C27" s="89" t="s">
        <v>154</v>
      </c>
      <c r="D27" s="89" t="s">
        <v>155</v>
      </c>
      <c r="E27" s="89"/>
      <c r="F27" s="90" t="s">
        <v>114</v>
      </c>
      <c r="G27" s="119" t="s">
        <v>11</v>
      </c>
      <c r="H27" s="89"/>
    </row>
    <row r="28" spans="1:8" ht="39" customHeight="1">
      <c r="A28" s="89" t="str">
        <f>IF(OR(B28&lt;&gt;"",D28&lt;&gt;""),"[" &amp;TEXT($B$2,"##")&amp;"-"&amp;TEXT(18,"00")&amp;"]","")</f>
        <v>[Module2-18]</v>
      </c>
      <c r="B28" s="89" t="s">
        <v>58</v>
      </c>
      <c r="C28" s="89" t="s">
        <v>190</v>
      </c>
      <c r="D28" s="89" t="s">
        <v>191</v>
      </c>
      <c r="E28" s="89" t="s">
        <v>59</v>
      </c>
      <c r="F28" s="90" t="s">
        <v>114</v>
      </c>
      <c r="G28" s="119" t="s">
        <v>11</v>
      </c>
      <c r="H28" s="89"/>
    </row>
    <row r="29" spans="1:8" ht="26.25" customHeight="1">
      <c r="A29" s="89" t="str">
        <f>IF(OR(B29&lt;&gt;"",D29&lt;&gt;""),"[" &amp;TEXT($B$2,"##")&amp;"-"&amp;TEXT(19,"00")&amp;"]","")</f>
        <v>[Module2-19]</v>
      </c>
      <c r="B29" s="89" t="s">
        <v>60</v>
      </c>
      <c r="C29" s="89" t="s">
        <v>192</v>
      </c>
      <c r="D29" s="89" t="s">
        <v>157</v>
      </c>
      <c r="E29" s="89"/>
      <c r="F29" s="90" t="s">
        <v>114</v>
      </c>
      <c r="G29" s="119" t="s">
        <v>11</v>
      </c>
      <c r="H29" s="89"/>
    </row>
    <row r="30" spans="1:8" ht="12.75" customHeight="1">
      <c r="A30" s="88"/>
      <c r="B30" s="88" t="s">
        <v>77</v>
      </c>
      <c r="C30" s="88"/>
      <c r="D30" s="88"/>
      <c r="E30" s="88"/>
      <c r="F30" s="88"/>
      <c r="G30" s="88"/>
      <c r="H30" s="88"/>
    </row>
    <row r="31" spans="1:8" ht="66">
      <c r="A31" s="89" t="str">
        <f>IF(OR(B31&lt;&gt;"",D31&lt;&gt;""),"[" &amp;TEXT($B$2,"##")&amp;"-"&amp;TEXT(20,"00")&amp;"]","")</f>
        <v>[Module2-20]</v>
      </c>
      <c r="B31" s="89" t="s">
        <v>78</v>
      </c>
      <c r="C31" s="89" t="s">
        <v>193</v>
      </c>
      <c r="D31" s="89" t="s">
        <v>194</v>
      </c>
      <c r="E31" s="89" t="s">
        <v>79</v>
      </c>
      <c r="F31" s="90" t="s">
        <v>114</v>
      </c>
      <c r="G31" s="119" t="s">
        <v>11</v>
      </c>
      <c r="H31" s="89"/>
    </row>
    <row r="32" spans="1:8" ht="39" customHeight="1">
      <c r="A32" s="89" t="str">
        <f>IF(OR(B32&lt;&gt;"",D32&lt;&gt;""),"[" &amp;TEXT($B$2,"##")&amp;"-"&amp;TEXT(21,"00")&amp;"]","")</f>
        <v>[Module2-21]</v>
      </c>
      <c r="B32" s="89" t="s">
        <v>80</v>
      </c>
      <c r="C32" s="89" t="s">
        <v>195</v>
      </c>
      <c r="D32" s="89" t="s">
        <v>196</v>
      </c>
      <c r="E32" s="89" t="s">
        <v>81</v>
      </c>
      <c r="F32" s="90" t="s">
        <v>114</v>
      </c>
      <c r="G32" s="119" t="s">
        <v>11</v>
      </c>
      <c r="H32" s="89"/>
    </row>
    <row r="33" spans="1:8" ht="26.25" customHeight="1">
      <c r="A33" s="89" t="str">
        <f>IF(OR(B33&lt;&gt;"",D33&lt;&gt;""),"[" &amp;TEXT($B$2,"##")&amp;"-"&amp;TEXT(22,"00")&amp;"]","")</f>
        <v>[Module2-22]</v>
      </c>
      <c r="B33" s="89" t="s">
        <v>82</v>
      </c>
      <c r="C33" s="89" t="s">
        <v>197</v>
      </c>
      <c r="D33" s="89" t="s">
        <v>198</v>
      </c>
      <c r="E33" s="89"/>
      <c r="F33" s="90" t="s">
        <v>114</v>
      </c>
      <c r="G33" s="119" t="s">
        <v>11</v>
      </c>
      <c r="H33" s="89"/>
    </row>
    <row r="34" spans="1:8" ht="26.25" customHeight="1">
      <c r="A34" s="89" t="str">
        <f>IF(OR(B34&lt;&gt;"",D34&lt;&gt;""),"[" &amp;TEXT($B$2,"##")&amp;"-"&amp;TEXT(23,"00")&amp;"]","")</f>
        <v>[Module2-23]</v>
      </c>
      <c r="B34" s="89" t="s">
        <v>83</v>
      </c>
      <c r="C34" s="89" t="s">
        <v>199</v>
      </c>
      <c r="D34" s="89" t="s">
        <v>200</v>
      </c>
      <c r="E34" s="89"/>
      <c r="F34" s="90" t="s">
        <v>114</v>
      </c>
      <c r="G34" s="119" t="s">
        <v>11</v>
      </c>
      <c r="H34" s="89"/>
    </row>
    <row r="35" spans="1:8" ht="25.8" customHeight="1">
      <c r="A35" s="89" t="str">
        <f>IF(OR(B35&lt;&gt;"",D35&lt;&gt;""),"[" &amp;TEXT($B$2,"##")&amp;"-"&amp;TEXT(24,"00")&amp;"]","")</f>
        <v>[Module2-24]</v>
      </c>
      <c r="B35" s="89" t="s">
        <v>84</v>
      </c>
      <c r="C35" s="89" t="s">
        <v>201</v>
      </c>
      <c r="D35" s="89" t="s">
        <v>202</v>
      </c>
      <c r="E35" s="89"/>
      <c r="F35" s="90" t="s">
        <v>114</v>
      </c>
      <c r="G35" s="119" t="s">
        <v>11</v>
      </c>
      <c r="H35" s="89"/>
    </row>
    <row r="36" spans="1:8" s="73" customFormat="1" ht="39" customHeight="1">
      <c r="A36" s="89" t="str">
        <f>IF(OR(B38&lt;&gt;"",D38&lt;&gt;""),"[" &amp;TEXT($B$2,"##")&amp;"-"&amp;TEXT(25,"00")&amp;"]","")</f>
        <v>[Module2-25]</v>
      </c>
      <c r="B36" s="89" t="s">
        <v>87</v>
      </c>
      <c r="C36" s="89" t="s">
        <v>207</v>
      </c>
      <c r="D36" s="89" t="s">
        <v>208</v>
      </c>
      <c r="E36" s="89" t="s">
        <v>88</v>
      </c>
      <c r="F36" s="90" t="s">
        <v>114</v>
      </c>
      <c r="G36" s="119" t="s">
        <v>11</v>
      </c>
      <c r="H36" s="89"/>
    </row>
    <row r="37" spans="1:8" s="73" customFormat="1" ht="39" customHeight="1">
      <c r="A37" s="89" t="str">
        <f>IF(OR(B39&lt;&gt;"",D39&lt;&gt;""),"[" &amp;TEXT($B$2,"##")&amp;"-"&amp;TEXT(26,"00")&amp;"]","")</f>
        <v>[Module2-26]</v>
      </c>
      <c r="B37" s="89" t="s">
        <v>89</v>
      </c>
      <c r="C37" s="89" t="s">
        <v>209</v>
      </c>
      <c r="D37" s="89" t="s">
        <v>210</v>
      </c>
      <c r="E37" s="89" t="s">
        <v>90</v>
      </c>
      <c r="F37" s="90" t="s">
        <v>114</v>
      </c>
      <c r="G37" s="119" t="s">
        <v>11</v>
      </c>
      <c r="H37" s="89"/>
    </row>
    <row r="38" spans="1:8" s="73" customFormat="1" ht="26.25" customHeight="1">
      <c r="A38" s="89" t="str">
        <f>IF(OR(B36&lt;&gt;"",D36&lt;&gt;""),"[" &amp;TEXT($B$2,"##")&amp;"-"&amp;TEXT(27,"00")&amp;"]","")</f>
        <v>[Module2-27]</v>
      </c>
      <c r="B38" s="89" t="s">
        <v>85</v>
      </c>
      <c r="C38" s="89" t="s">
        <v>203</v>
      </c>
      <c r="D38" s="89" t="s">
        <v>204</v>
      </c>
      <c r="E38" s="89"/>
      <c r="F38" s="90" t="s">
        <v>114</v>
      </c>
      <c r="G38" s="119" t="s">
        <v>11</v>
      </c>
      <c r="H38" s="89"/>
    </row>
    <row r="39" spans="1:8" s="73" customFormat="1" ht="26.25" customHeight="1">
      <c r="A39" s="89" t="str">
        <f>IF(OR(B37&lt;&gt;"",D37&lt;&gt;""),"[" &amp;TEXT($B$2,"##")&amp;"-"&amp;TEXT(28,"00")&amp;"]","")</f>
        <v>[Module2-28]</v>
      </c>
      <c r="B39" s="89" t="s">
        <v>86</v>
      </c>
      <c r="C39" s="89" t="s">
        <v>205</v>
      </c>
      <c r="D39" s="89" t="s">
        <v>206</v>
      </c>
      <c r="E39" s="89"/>
      <c r="F39" s="90" t="s">
        <v>114</v>
      </c>
      <c r="G39" s="119" t="s">
        <v>11</v>
      </c>
      <c r="H39" s="89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7:F35 F36:F140" xr:uid="{00000000-0002-0000-0400-000000000000}">
      <formula1>$J$2:$J$6</formula1>
      <formula2>0</formula2>
    </dataValidation>
  </dataValidations>
  <pageMargins left="0.74791666666666701" right="0.25" top="0.75" bottom="0.98402777777777795" header="0.511811023622047" footer="0.511811023622047"/>
  <pageSetup paperSize="9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W17"/>
  <sheetViews>
    <sheetView zoomScaleNormal="100" workbookViewId="0">
      <selection activeCell="H20" sqref="H20"/>
    </sheetView>
  </sheetViews>
  <sheetFormatPr defaultColWidth="9" defaultRowHeight="13.8"/>
  <cols>
    <col min="1" max="1" width="9" style="11"/>
    <col min="2" max="2" width="13.44140625" style="11" customWidth="1"/>
    <col min="3" max="3" width="19.33203125" style="11" customWidth="1"/>
    <col min="4" max="7" width="9" style="11"/>
    <col min="8" max="8" width="9.109375" style="11" customWidth="1"/>
    <col min="9" max="9" width="23.44140625" style="11" customWidth="1"/>
    <col min="10" max="257" width="9" style="11"/>
    <col min="258" max="16384" width="9" style="6"/>
  </cols>
  <sheetData>
    <row r="1" spans="1:9" ht="25.5" customHeight="1">
      <c r="B1" s="136" t="s">
        <v>211</v>
      </c>
      <c r="C1" s="136"/>
      <c r="D1" s="136"/>
      <c r="E1" s="136"/>
      <c r="F1" s="136"/>
      <c r="G1" s="136"/>
      <c r="H1" s="136"/>
    </row>
    <row r="2" spans="1:9" ht="14.25" customHeight="1">
      <c r="A2" s="92"/>
      <c r="B2" s="92"/>
      <c r="H2" s="93"/>
    </row>
    <row r="3" spans="1:9" ht="12" customHeight="1">
      <c r="B3" s="1" t="s">
        <v>1</v>
      </c>
      <c r="C3" s="132" t="s">
        <v>2</v>
      </c>
      <c r="D3" s="132"/>
      <c r="E3" s="133" t="s">
        <v>3</v>
      </c>
      <c r="F3" s="133"/>
      <c r="G3" s="94" t="s">
        <v>4</v>
      </c>
      <c r="H3" s="95"/>
    </row>
    <row r="4" spans="1:9" ht="12" customHeight="1">
      <c r="B4" s="1" t="s">
        <v>5</v>
      </c>
      <c r="C4" s="132" t="s">
        <v>6</v>
      </c>
      <c r="D4" s="132"/>
      <c r="E4" s="133" t="s">
        <v>7</v>
      </c>
      <c r="F4" s="133"/>
      <c r="G4" s="94" t="s">
        <v>8</v>
      </c>
      <c r="H4" s="95"/>
    </row>
    <row r="5" spans="1:9" ht="12" customHeight="1">
      <c r="B5" s="96" t="s">
        <v>9</v>
      </c>
      <c r="C5" s="132" t="str">
        <f>C4&amp;"_"&amp;"CN3_TestCase"&amp;"_"&amp;"v1.0"</f>
        <v>Lab301x_CN3_TestCase_v1.0</v>
      </c>
      <c r="D5" s="132"/>
      <c r="E5" s="133" t="s">
        <v>10</v>
      </c>
      <c r="F5" s="133"/>
      <c r="G5" s="134" t="s">
        <v>11</v>
      </c>
      <c r="H5" s="134"/>
    </row>
    <row r="6" spans="1:9" ht="30" customHeight="1">
      <c r="A6" s="92"/>
      <c r="B6" s="96" t="s">
        <v>212</v>
      </c>
      <c r="C6" s="135" t="s">
        <v>223</v>
      </c>
      <c r="D6" s="135"/>
      <c r="E6" s="135"/>
      <c r="F6" s="135"/>
      <c r="G6" s="135"/>
      <c r="H6" s="135"/>
    </row>
    <row r="7" spans="1:9" ht="14.25" customHeight="1">
      <c r="A7" s="92"/>
      <c r="B7" s="14"/>
      <c r="C7" s="97"/>
      <c r="G7" s="93"/>
      <c r="H7" s="93"/>
    </row>
    <row r="8" spans="1:9" ht="12.75" customHeight="1">
      <c r="B8" s="14"/>
      <c r="C8" s="97"/>
      <c r="H8" s="93"/>
    </row>
    <row r="9" spans="1:9" ht="13.5" customHeight="1">
      <c r="B9" s="98" t="s">
        <v>94</v>
      </c>
      <c r="C9" s="99" t="s">
        <v>213</v>
      </c>
      <c r="D9" s="100" t="s">
        <v>214</v>
      </c>
      <c r="E9" s="99" t="s">
        <v>215</v>
      </c>
      <c r="F9" s="99" t="s">
        <v>120</v>
      </c>
      <c r="G9" s="101" t="s">
        <v>119</v>
      </c>
      <c r="H9" s="102" t="s">
        <v>121</v>
      </c>
      <c r="I9" s="103" t="s">
        <v>216</v>
      </c>
    </row>
    <row r="10" spans="1:9" ht="12.75" customHeight="1">
      <c r="B10" s="104">
        <v>1</v>
      </c>
      <c r="C10" s="105" t="str">
        <f>Module1!B2</f>
        <v>Module1</v>
      </c>
      <c r="D10" s="106">
        <f>Module1!A6</f>
        <v>16</v>
      </c>
      <c r="E10" s="106">
        <f>Module1!B6</f>
        <v>0</v>
      </c>
      <c r="F10" s="106">
        <f>Module1!C6</f>
        <v>0</v>
      </c>
      <c r="G10" s="106">
        <f>Module1!D6</f>
        <v>0</v>
      </c>
      <c r="H10" s="106">
        <f>Module1!E6</f>
        <v>0</v>
      </c>
      <c r="I10" s="107">
        <f>Module1!F6</f>
        <v>16</v>
      </c>
    </row>
    <row r="11" spans="1:9" ht="12.75" customHeight="1">
      <c r="B11" s="104">
        <v>2</v>
      </c>
      <c r="C11" s="105" t="str">
        <f>Module2!B2</f>
        <v>Module2</v>
      </c>
      <c r="D11" s="106">
        <f>Module2!A6</f>
        <v>28</v>
      </c>
      <c r="E11" s="106">
        <f>Module2!B6</f>
        <v>0</v>
      </c>
      <c r="F11" s="106">
        <f>Module2!C6</f>
        <v>0</v>
      </c>
      <c r="G11" s="106">
        <f>Module2!D6</f>
        <v>0</v>
      </c>
      <c r="H11" s="106">
        <f>Module2!E6</f>
        <v>0</v>
      </c>
      <c r="I11" s="107">
        <f>Module2!F6</f>
        <v>28</v>
      </c>
    </row>
    <row r="12" spans="1:9" ht="12.75" customHeight="1">
      <c r="B12" s="104"/>
      <c r="C12" s="105"/>
      <c r="D12" s="106"/>
      <c r="E12" s="106"/>
      <c r="F12" s="106"/>
      <c r="G12" s="106"/>
      <c r="H12" s="106"/>
      <c r="I12" s="107"/>
    </row>
    <row r="13" spans="1:9" ht="12.75" customHeight="1">
      <c r="B13" s="108"/>
      <c r="C13" s="109" t="s">
        <v>217</v>
      </c>
      <c r="D13" s="110">
        <f t="shared" ref="D13:I13" si="0">SUM(D10:D12)</f>
        <v>44</v>
      </c>
      <c r="E13" s="110">
        <f t="shared" si="0"/>
        <v>0</v>
      </c>
      <c r="F13" s="110">
        <f t="shared" si="0"/>
        <v>0</v>
      </c>
      <c r="G13" s="110">
        <f t="shared" si="0"/>
        <v>0</v>
      </c>
      <c r="H13" s="111">
        <f t="shared" si="0"/>
        <v>0</v>
      </c>
      <c r="I13" s="112">
        <f t="shared" si="0"/>
        <v>44</v>
      </c>
    </row>
    <row r="14" spans="1:9" ht="12.75" customHeight="1">
      <c r="B14" s="113"/>
      <c r="D14" s="114"/>
      <c r="E14" s="115"/>
      <c r="F14" s="115"/>
      <c r="G14" s="115"/>
      <c r="H14" s="115"/>
    </row>
    <row r="15" spans="1:9" ht="12.75" customHeight="1">
      <c r="C15" s="116" t="s">
        <v>218</v>
      </c>
      <c r="E15" s="117">
        <f>IFERROR((D13+E13)*100/(I13-H13-G13),0)</f>
        <v>100</v>
      </c>
      <c r="F15" s="11" t="s">
        <v>219</v>
      </c>
      <c r="H15" s="118"/>
    </row>
    <row r="16" spans="1:9" ht="12.75" customHeight="1">
      <c r="C16" s="116" t="s">
        <v>220</v>
      </c>
      <c r="E16" s="117">
        <f>IFERROR(D13*100/(D13+E13),0)</f>
        <v>100</v>
      </c>
      <c r="F16" s="11" t="s">
        <v>219</v>
      </c>
      <c r="H16" s="118"/>
    </row>
    <row r="17" ht="12.75" customHeight="1"/>
  </sheetData>
  <mergeCells count="9">
    <mergeCell ref="C5:D5"/>
    <mergeCell ref="E5:F5"/>
    <mergeCell ref="G5:H5"/>
    <mergeCell ref="C6:H6"/>
    <mergeCell ref="B1:H1"/>
    <mergeCell ref="C3:D3"/>
    <mergeCell ref="E3:F3"/>
    <mergeCell ref="C4:D4"/>
    <mergeCell ref="E4:F4"/>
  </mergeCells>
  <pageMargins left="0.74791666666666701" right="0.74791666666666701" top="0.98402777777777795" bottom="0.98402777777777795" header="0.511811023622047" footer="0.5"/>
  <pageSetup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</vt:lpstr>
      <vt:lpstr>TestDesign</vt:lpstr>
      <vt:lpstr>Test case List</vt:lpstr>
      <vt:lpstr>Module1</vt:lpstr>
      <vt:lpstr>Module2</vt:lpstr>
      <vt:lpstr>Test Report</vt:lpstr>
      <vt:lpstr>Module1!Excel_BuiltIn__FilterDatabase</vt:lpstr>
      <vt:lpstr>TestDesign!Print_Area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/>
  <dc:description>Updates sheet Cover: Add logo, document code, creator, reviewer/approver._x005f_x000d_
Add sheet Test Case List._x005f_x000d_
Change Sheet Company, User, Provider to Modules. Add column Inter-test case dependent. Update these sheets._x005f_x000d_
Update Test Report_x005f_x000d_
</dc:description>
  <cp:lastModifiedBy>Việt Đức Nguyễn</cp:lastModifiedBy>
  <cp:revision>0</cp:revision>
  <cp:lastPrinted>2010-11-12T10:33:20Z</cp:lastPrinted>
  <dcterms:created xsi:type="dcterms:W3CDTF">2014-07-14T08:56:24Z</dcterms:created>
  <dcterms:modified xsi:type="dcterms:W3CDTF">2026-10-02T02:44:28Z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Info">
    <vt:lpwstr/>
  </property>
  <property fmtid="{D5CDD505-2E9C-101B-9397-08002B2CF9AE}" pid="3" name="Number Of Viewer">
    <vt:lpwstr>0</vt:lpwstr>
  </property>
  <property fmtid="{D5CDD505-2E9C-101B-9397-08002B2CF9AE}" pid="4" name="Order">
    <vt:lpwstr/>
  </property>
  <property fmtid="{D5CDD505-2E9C-101B-9397-08002B2CF9AE}" pid="5" name="Priority">
    <vt:lpwstr/>
  </property>
  <property fmtid="{D5CDD505-2E9C-101B-9397-08002B2CF9AE}" pid="6" name="TemplateUrl">
    <vt:lpwstr/>
  </property>
  <property fmtid="{D5CDD505-2E9C-101B-9397-08002B2CF9AE}" pid="7" name="_SharedFileIndex">
    <vt:lpwstr/>
  </property>
  <property fmtid="{D5CDD505-2E9C-101B-9397-08002B2CF9AE}" pid="8" name="_SourceUrl">
    <vt:lpwstr/>
  </property>
  <property fmtid="{D5CDD505-2E9C-101B-9397-08002B2CF9AE}" pid="9" name="xd_ProgID">
    <vt:lpwstr/>
  </property>
</Properties>
</file>